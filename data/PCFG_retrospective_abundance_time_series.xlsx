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E:\2026_SSM\"/>
    </mc:Choice>
  </mc:AlternateContent>
  <xr:revisionPtr revIDLastSave="0" documentId="13_ncr:1_{2F72AB04-091F-4326-BC39-7212A82A44C5}" xr6:coauthVersionLast="47" xr6:coauthVersionMax="47" xr10:uidLastSave="{00000000-0000-0000-0000-000000000000}"/>
  <bookViews>
    <workbookView xWindow="28680" yWindow="-120" windowWidth="29040" windowHeight="15720" tabRatio="865" firstSheet="4" activeTab="11" xr2:uid="{00000000-000D-0000-FFFF-FFFF00000000}"/>
  </bookViews>
  <sheets>
    <sheet name="Read me" sheetId="1" r:id="rId1"/>
    <sheet name="2002-08 Cal et al. 2010" sheetId="2" r:id="rId2"/>
    <sheet name="2002-10 Cal et al. 2012" sheetId="3" r:id="rId3"/>
    <sheet name="2002-12 Cal et al. 2014" sheetId="4" r:id="rId4"/>
    <sheet name="2002-15 Cal et al. 2017" sheetId="5" r:id="rId5"/>
    <sheet name="2002-17 Cal et al. 2020" sheetId="6" r:id="rId6"/>
    <sheet name="2002-20 Har et al. 2022" sheetId="7" r:id="rId7"/>
    <sheet name="2002-22 Har et al. 2024" sheetId="8" r:id="rId8"/>
    <sheet name="2002-23 Har et al. 2025" sheetId="9" r:id="rId9"/>
    <sheet name="2002-24 Mah et al. 2026" sheetId="12" r:id="rId10"/>
    <sheet name="All time series together" sheetId="10" r:id="rId11"/>
    <sheet name="N_retro_long" sheetId="11" r:id="rId12"/>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<sst xmlns="http://schemas.openxmlformats.org/spreadsheetml/2006/main" count="295" uniqueCount="19">
  <si>
    <t>The source for each time series of abundance estimates is in the tab. I have abbreviated Calambokidis and Cal and Harris as Har to make sure the text fit in the tab.</t>
  </si>
  <si>
    <t>I am not sure if the estimates from Calambokidis et al. 2010 should be used as they appear to use a different estimator. The paper lists that the estimates were from a POPAN model. For the others I exclusively used the JS1 for all whales (not the version with calves removed)</t>
  </si>
  <si>
    <t>For the sake of interest, I put all of the time series of abundance estimates together. To me, this is interesting to look at to see how the time series changes during each analysis. Of particular interest to me is the change in the estimate for 2002. I think that the 2002 value is influential on the average lambda used in the Moore forecast. The other point of interest is the change in abundance estimates between the 2014 update and the 2017 update. The 2014 update looks to have been very influenced by survey results of the recent years. Hopefully our low we are currently experiencing is similar and with the expanded survey effort of MML that we will see that these were negatively biased estimates.</t>
  </si>
  <si>
    <t>Year</t>
  </si>
  <si>
    <t>N</t>
  </si>
  <si>
    <t>SE</t>
  </si>
  <si>
    <t xml:space="preserve">N </t>
  </si>
  <si>
    <t>Source</t>
  </si>
  <si>
    <t>Calambokidis et al. 2010</t>
  </si>
  <si>
    <t>Calambokidis et al. 2012</t>
  </si>
  <si>
    <t>Calambokidis et al. 2014</t>
  </si>
  <si>
    <t>Calambokidis et al. 2017</t>
  </si>
  <si>
    <t>Calambokidis et al. 2020</t>
  </si>
  <si>
    <t>Harris et al. 2022</t>
  </si>
  <si>
    <t>Harris et al. 2024</t>
  </si>
  <si>
    <t>year</t>
  </si>
  <si>
    <t>ref</t>
  </si>
  <si>
    <t>Harris et al. 2025</t>
  </si>
  <si>
    <t>Mahoney et al.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</si>
</sst>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charset val="1"/>
    </font>
    <font>
      <sz val="11"/>
      <color rgb="FF000000"/>
      <name val="Calibri"/>
      <family val="2"/>
      <charset val="1"/>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12">
    <xf numFmtId="0" fontId="0" fillId="0" borderId="0" xfId="0"/>
    <xf numFmtId="0" fontId="0" fillId="0" borderId="0" xfId="0" applyAlignment="1">
      <alignment horizontal="center" wrapText="1"/>
    </xf>
    <xf numFmtId="0" fontId="0" fillId="0" borderId="0" xfId="0" applyAlignment="1">
      <alignment wrapText="1"/>
    </xf>
    <xf numFmtId="164" fontId="0" fillId="0" borderId="0" xfId="0" applyNumberFormat="1"/>
    <xf numFmtId="0" fontId="1" fillId="0" borderId="0" xfId="0" applyFont="1"/>
    <xf numFmtId="164" fontId="1" fillId="0" borderId="0" xfId="0" applyNumberFormat="1" applyFont="1"/>
    <xf numFmtId="0" fontId="1" fillId="0" borderId="1" xfId="0" applyFont="1" applyBorder="1"/>
    <xf numFmtId="164" fontId="1" fillId="0" borderId="1" xfId="0" applyNumberFormat="1" applyFont="1" applyBorder="1"/>
    <xf numFmtId="0" fontId="0" fillId="0" borderId="1" xfId="0" applyBorder="1"/>
    <xf numFmtId="164" fontId="0" fillId="0" borderId="1" xfId="0" applyNumberFormat="1" applyBorder="1"/>
    <xf numFmtId="0" fontId="0" fillId="0" borderId="0" xfId="0" applyFill="1" applyBorder="1"/>
    <xf numFmtId="0" fontId="0" fillId="0" borderId="1" xfId="0"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5B9BD5"/>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000"/>
      <rgbColor rgb="FFFF9900"/>
      <rgbColor rgb="FFED7D31"/>
      <rgbColor rgb="FF595959"/>
      <rgbColor rgb="FFA5A5A5"/>
      <rgbColor rgb="FF003366"/>
      <rgbColor rgb="FF70AD47"/>
      <rgbColor rgb="FF003300"/>
      <rgbColor rgb="FF333300"/>
      <rgbColor rgb="FF993300"/>
      <rgbColor rgb="FF993366"/>
      <rgbColor rgb="FF2644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Time trends of abundance for each update</a:t>
            </a:r>
          </a:p>
        </c:rich>
      </c:tx>
      <c:overlay val="0"/>
      <c:spPr>
        <a:noFill/>
        <a:ln w="0">
          <a:noFill/>
        </a:ln>
      </c:spPr>
    </c:title>
    <c:autoTitleDeleted val="0"/>
    <c:plotArea>
      <c:layout/>
      <c:lineChart>
        <c:grouping val="standard"/>
        <c:varyColors val="0"/>
        <c:ser>
          <c:idx val="0"/>
          <c:order val="0"/>
          <c:tx>
            <c:v>Cal 2010</c:v>
          </c:tx>
          <c:spPr>
            <a:ln w="2844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'All time series together'!$A$4:$A$28</c:f>
              <c:numCache>
                <c:formatCode>General</c:formatCode>
                <c:ptCount val="25"/>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numCache>
            </c:numRef>
          </c:cat>
          <c:val>
            <c:numRef>
              <c:f>'All time series together'!$B$4:$B$14</c:f>
              <c:numCache>
                <c:formatCode>General</c:formatCode>
                <c:ptCount val="11"/>
                <c:pt idx="0">
                  <c:v>138</c:v>
                </c:pt>
                <c:pt idx="1">
                  <c:v>191</c:v>
                </c:pt>
                <c:pt idx="2">
                  <c:v>174</c:v>
                </c:pt>
                <c:pt idx="3">
                  <c:v>216</c:v>
                </c:pt>
                <c:pt idx="4">
                  <c:v>209</c:v>
                </c:pt>
                <c:pt idx="5">
                  <c:v>192</c:v>
                </c:pt>
                <c:pt idx="6">
                  <c:v>209</c:v>
                </c:pt>
                <c:pt idx="7">
                  <c:v>200</c:v>
                </c:pt>
                <c:pt idx="8">
                  <c:v>178</c:v>
                </c:pt>
                <c:pt idx="9">
                  <c:v>202</c:v>
                </c:pt>
                <c:pt idx="10">
                  <c:v>225</c:v>
                </c:pt>
              </c:numCache>
            </c:numRef>
          </c:val>
          <c:smooth val="0"/>
          <c:extLst>
            <c:ext xmlns:c16="http://schemas.microsoft.com/office/drawing/2014/chart" uri="{C3380CC4-5D6E-409C-BE32-E72D297353CC}">
              <c16:uniqueId val="{00000000-8492-4FB4-9AAD-F05BB39727F7}"/>
            </c:ext>
          </c:extLst>
        </c:ser>
        <c:ser>
          <c:idx val="1"/>
          <c:order val="1"/>
          <c:tx>
            <c:v>Cal 2012</c:v>
          </c:tx>
          <c:spPr>
            <a:ln w="2844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'All time series together'!$A$4:$A$28</c:f>
              <c:numCache>
                <c:formatCode>General</c:formatCode>
                <c:ptCount val="25"/>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numCache>
            </c:numRef>
          </c:cat>
          <c:val>
            <c:numRef>
              <c:f>'All time series together'!$D$4:$D$16</c:f>
              <c:numCache>
                <c:formatCode>General</c:formatCode>
                <c:ptCount val="13"/>
                <c:pt idx="0">
                  <c:v>103</c:v>
                </c:pt>
                <c:pt idx="1">
                  <c:v>135</c:v>
                </c:pt>
                <c:pt idx="2">
                  <c:v>141</c:v>
                </c:pt>
                <c:pt idx="3">
                  <c:v>175</c:v>
                </c:pt>
                <c:pt idx="4">
                  <c:v>193</c:v>
                </c:pt>
                <c:pt idx="5">
                  <c:v>202</c:v>
                </c:pt>
                <c:pt idx="6">
                  <c:v>209</c:v>
                </c:pt>
                <c:pt idx="7">
                  <c:v>208</c:v>
                </c:pt>
                <c:pt idx="8">
                  <c:v>190</c:v>
                </c:pt>
                <c:pt idx="9">
                  <c:v>184</c:v>
                </c:pt>
                <c:pt idx="10">
                  <c:v>192</c:v>
                </c:pt>
                <c:pt idx="11">
                  <c:v>185</c:v>
                </c:pt>
                <c:pt idx="12">
                  <c:v>188</c:v>
                </c:pt>
              </c:numCache>
            </c:numRef>
          </c:val>
          <c:smooth val="0"/>
          <c:extLst>
            <c:ext xmlns:c16="http://schemas.microsoft.com/office/drawing/2014/chart" uri="{C3380CC4-5D6E-409C-BE32-E72D297353CC}">
              <c16:uniqueId val="{00000001-8492-4FB4-9AAD-F05BB39727F7}"/>
            </c:ext>
          </c:extLst>
        </c:ser>
        <c:ser>
          <c:idx val="2"/>
          <c:order val="2"/>
          <c:tx>
            <c:v>Cal 2014</c:v>
          </c:tx>
          <c:spPr>
            <a:ln w="28440" cap="rnd">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'All time series together'!$A$4:$A$28</c:f>
              <c:numCache>
                <c:formatCode>General</c:formatCode>
                <c:ptCount val="25"/>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numCache>
            </c:numRef>
          </c:cat>
          <c:val>
            <c:numRef>
              <c:f>'All time series together'!$F$4:$F$18</c:f>
              <c:numCache>
                <c:formatCode>General</c:formatCode>
                <c:ptCount val="15"/>
                <c:pt idx="0">
                  <c:v>126</c:v>
                </c:pt>
                <c:pt idx="1">
                  <c:v>147</c:v>
                </c:pt>
                <c:pt idx="2">
                  <c:v>149</c:v>
                </c:pt>
                <c:pt idx="3">
                  <c:v>181</c:v>
                </c:pt>
                <c:pt idx="4">
                  <c:v>198</c:v>
                </c:pt>
                <c:pt idx="5">
                  <c:v>210</c:v>
                </c:pt>
                <c:pt idx="6">
                  <c:v>218</c:v>
                </c:pt>
                <c:pt idx="7">
                  <c:v>219</c:v>
                </c:pt>
                <c:pt idx="8">
                  <c:v>200</c:v>
                </c:pt>
                <c:pt idx="9">
                  <c:v>194</c:v>
                </c:pt>
                <c:pt idx="10">
                  <c:v>207</c:v>
                </c:pt>
                <c:pt idx="11">
                  <c:v>206</c:v>
                </c:pt>
                <c:pt idx="12">
                  <c:v>194</c:v>
                </c:pt>
                <c:pt idx="13">
                  <c:v>197</c:v>
                </c:pt>
                <c:pt idx="14">
                  <c:v>209</c:v>
                </c:pt>
              </c:numCache>
            </c:numRef>
          </c:val>
          <c:smooth val="0"/>
          <c:extLst>
            <c:ext xmlns:c16="http://schemas.microsoft.com/office/drawing/2014/chart" uri="{C3380CC4-5D6E-409C-BE32-E72D297353CC}">
              <c16:uniqueId val="{00000002-8492-4FB4-9AAD-F05BB39727F7}"/>
            </c:ext>
          </c:extLst>
        </c:ser>
        <c:ser>
          <c:idx val="3"/>
          <c:order val="3"/>
          <c:tx>
            <c:v>Cal 2017</c:v>
          </c:tx>
          <c:spPr>
            <a:ln w="28440" cap="rnd">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'All time series together'!$A$4:$A$28</c:f>
              <c:numCache>
                <c:formatCode>General</c:formatCode>
                <c:ptCount val="25"/>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numCache>
            </c:numRef>
          </c:cat>
          <c:val>
            <c:numRef>
              <c:f>'All time series together'!$H$4:$H$21</c:f>
              <c:numCache>
                <c:formatCode>General</c:formatCode>
                <c:ptCount val="18"/>
                <c:pt idx="0">
                  <c:v>126</c:v>
                </c:pt>
                <c:pt idx="1">
                  <c:v>145</c:v>
                </c:pt>
                <c:pt idx="2">
                  <c:v>146</c:v>
                </c:pt>
                <c:pt idx="3">
                  <c:v>178</c:v>
                </c:pt>
                <c:pt idx="4">
                  <c:v>197</c:v>
                </c:pt>
                <c:pt idx="5">
                  <c:v>207</c:v>
                </c:pt>
                <c:pt idx="6">
                  <c:v>216</c:v>
                </c:pt>
                <c:pt idx="7">
                  <c:v>215</c:v>
                </c:pt>
                <c:pt idx="8">
                  <c:v>197</c:v>
                </c:pt>
                <c:pt idx="9">
                  <c:v>192</c:v>
                </c:pt>
                <c:pt idx="10">
                  <c:v>210</c:v>
                </c:pt>
                <c:pt idx="11">
                  <c:v>208</c:v>
                </c:pt>
                <c:pt idx="12">
                  <c:v>200</c:v>
                </c:pt>
                <c:pt idx="13">
                  <c:v>205</c:v>
                </c:pt>
                <c:pt idx="14">
                  <c:v>217</c:v>
                </c:pt>
                <c:pt idx="15">
                  <c:v>235</c:v>
                </c:pt>
                <c:pt idx="16">
                  <c:v>238</c:v>
                </c:pt>
                <c:pt idx="17">
                  <c:v>243</c:v>
                </c:pt>
              </c:numCache>
            </c:numRef>
          </c:val>
          <c:smooth val="0"/>
          <c:extLst>
            <c:ext xmlns:c16="http://schemas.microsoft.com/office/drawing/2014/chart" uri="{C3380CC4-5D6E-409C-BE32-E72D297353CC}">
              <c16:uniqueId val="{00000003-8492-4FB4-9AAD-F05BB39727F7}"/>
            </c:ext>
          </c:extLst>
        </c:ser>
        <c:ser>
          <c:idx val="4"/>
          <c:order val="4"/>
          <c:tx>
            <c:v>Cal 2020</c:v>
          </c:tx>
          <c:spPr>
            <a:ln w="28440" cap="rnd">
              <a:solidFill>
                <a:srgbClr val="5B9BD5"/>
              </a:solidFill>
              <a:round/>
            </a:ln>
          </c:spPr>
          <c:marker>
            <c:symbol val="circle"/>
            <c:size val="5"/>
            <c:spPr>
              <a:solidFill>
                <a:srgbClr val="5B9BD5"/>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'All time series together'!$A$4:$A$28</c:f>
              <c:numCache>
                <c:formatCode>General</c:formatCode>
                <c:ptCount val="25"/>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numCache>
            </c:numRef>
          </c:cat>
          <c:val>
            <c:numRef>
              <c:f>'All time series together'!$J$4:$J$23</c:f>
              <c:numCache>
                <c:formatCode>General</c:formatCode>
                <c:ptCount val="20"/>
                <c:pt idx="0">
                  <c:v>125</c:v>
                </c:pt>
                <c:pt idx="1">
                  <c:v>146</c:v>
                </c:pt>
                <c:pt idx="2">
                  <c:v>147</c:v>
                </c:pt>
                <c:pt idx="3">
                  <c:v>179</c:v>
                </c:pt>
                <c:pt idx="4">
                  <c:v>197</c:v>
                </c:pt>
                <c:pt idx="5">
                  <c:v>207</c:v>
                </c:pt>
                <c:pt idx="6">
                  <c:v>216</c:v>
                </c:pt>
                <c:pt idx="7">
                  <c:v>216</c:v>
                </c:pt>
                <c:pt idx="8">
                  <c:v>199</c:v>
                </c:pt>
                <c:pt idx="9">
                  <c:v>195</c:v>
                </c:pt>
                <c:pt idx="10">
                  <c:v>214</c:v>
                </c:pt>
                <c:pt idx="11">
                  <c:v>211</c:v>
                </c:pt>
                <c:pt idx="12">
                  <c:v>203</c:v>
                </c:pt>
                <c:pt idx="13">
                  <c:v>208</c:v>
                </c:pt>
                <c:pt idx="14">
                  <c:v>220</c:v>
                </c:pt>
                <c:pt idx="15">
                  <c:v>240</c:v>
                </c:pt>
                <c:pt idx="16">
                  <c:v>243</c:v>
                </c:pt>
                <c:pt idx="17">
                  <c:v>250</c:v>
                </c:pt>
                <c:pt idx="18">
                  <c:v>246</c:v>
                </c:pt>
                <c:pt idx="19">
                  <c:v>232</c:v>
                </c:pt>
              </c:numCache>
            </c:numRef>
          </c:val>
          <c:smooth val="0"/>
          <c:extLst>
            <c:ext xmlns:c16="http://schemas.microsoft.com/office/drawing/2014/chart" uri="{C3380CC4-5D6E-409C-BE32-E72D297353CC}">
              <c16:uniqueId val="{00000004-8492-4FB4-9AAD-F05BB39727F7}"/>
            </c:ext>
          </c:extLst>
        </c:ser>
        <c:ser>
          <c:idx val="5"/>
          <c:order val="5"/>
          <c:tx>
            <c:v>Har 2022</c:v>
          </c:tx>
          <c:spPr>
            <a:ln w="28440" cap="rnd">
              <a:solidFill>
                <a:srgbClr val="70AD47"/>
              </a:solidFill>
              <a:round/>
            </a:ln>
          </c:spPr>
          <c:marker>
            <c:symbol val="circle"/>
            <c:size val="5"/>
            <c:spPr>
              <a:solidFill>
                <a:srgbClr val="70AD47"/>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'All time series together'!$A$4:$A$28</c:f>
              <c:numCache>
                <c:formatCode>General</c:formatCode>
                <c:ptCount val="25"/>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numCache>
            </c:numRef>
          </c:cat>
          <c:val>
            <c:numRef>
              <c:f>'All time series together'!$L$4:$L$26</c:f>
              <c:numCache>
                <c:formatCode>General</c:formatCode>
                <c:ptCount val="23"/>
                <c:pt idx="0">
                  <c:v>133</c:v>
                </c:pt>
                <c:pt idx="1">
                  <c:v>145</c:v>
                </c:pt>
                <c:pt idx="2">
                  <c:v>147</c:v>
                </c:pt>
                <c:pt idx="3">
                  <c:v>182</c:v>
                </c:pt>
                <c:pt idx="4">
                  <c:v>210</c:v>
                </c:pt>
                <c:pt idx="5">
                  <c:v>209</c:v>
                </c:pt>
                <c:pt idx="6">
                  <c:v>224</c:v>
                </c:pt>
                <c:pt idx="7">
                  <c:v>208</c:v>
                </c:pt>
                <c:pt idx="8">
                  <c:v>195</c:v>
                </c:pt>
                <c:pt idx="9">
                  <c:v>185</c:v>
                </c:pt>
                <c:pt idx="10">
                  <c:v>217</c:v>
                </c:pt>
                <c:pt idx="11">
                  <c:v>208</c:v>
                </c:pt>
                <c:pt idx="12">
                  <c:v>201</c:v>
                </c:pt>
                <c:pt idx="13">
                  <c:v>213</c:v>
                </c:pt>
                <c:pt idx="14">
                  <c:v>229</c:v>
                </c:pt>
                <c:pt idx="15">
                  <c:v>249</c:v>
                </c:pt>
                <c:pt idx="16">
                  <c:v>245</c:v>
                </c:pt>
                <c:pt idx="17">
                  <c:v>257</c:v>
                </c:pt>
                <c:pt idx="18">
                  <c:v>244</c:v>
                </c:pt>
                <c:pt idx="19">
                  <c:v>224</c:v>
                </c:pt>
                <c:pt idx="20">
                  <c:v>211</c:v>
                </c:pt>
                <c:pt idx="21">
                  <c:v>228</c:v>
                </c:pt>
                <c:pt idx="22">
                  <c:v>212</c:v>
                </c:pt>
              </c:numCache>
            </c:numRef>
          </c:val>
          <c:smooth val="0"/>
          <c:extLst>
            <c:ext xmlns:c16="http://schemas.microsoft.com/office/drawing/2014/chart" uri="{C3380CC4-5D6E-409C-BE32-E72D297353CC}">
              <c16:uniqueId val="{00000005-8492-4FB4-9AAD-F05BB39727F7}"/>
            </c:ext>
          </c:extLst>
        </c:ser>
        <c:ser>
          <c:idx val="6"/>
          <c:order val="6"/>
          <c:tx>
            <c:v>Har 2024</c:v>
          </c:tx>
          <c:spPr>
            <a:ln w="28440" cap="rnd">
              <a:solidFill>
                <a:srgbClr val="264478"/>
              </a:solidFill>
              <a:round/>
            </a:ln>
          </c:spPr>
          <c:marker>
            <c:symbol val="circle"/>
            <c:size val="5"/>
            <c:spPr>
              <a:solidFill>
                <a:srgbClr val="264478"/>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'All time series together'!$A$4:$A$28</c:f>
              <c:numCache>
                <c:formatCode>General</c:formatCode>
                <c:ptCount val="25"/>
                <c:pt idx="0">
                  <c:v>1998</c:v>
                </c:pt>
                <c:pt idx="1">
                  <c:v>1999</c:v>
                </c:pt>
                <c:pt idx="2">
                  <c:v>2000</c:v>
                </c:pt>
                <c:pt idx="3">
                  <c:v>2001</c:v>
                </c:pt>
                <c:pt idx="4">
                  <c:v>2002</c:v>
                </c:pt>
                <c:pt idx="5">
                  <c:v>2003</c:v>
                </c:pt>
                <c:pt idx="6">
                  <c:v>2004</c:v>
                </c:pt>
                <c:pt idx="7">
                  <c:v>2005</c:v>
                </c:pt>
                <c:pt idx="8">
                  <c:v>2006</c:v>
                </c:pt>
                <c:pt idx="9">
                  <c:v>2007</c:v>
                </c:pt>
                <c:pt idx="10">
                  <c:v>2008</c:v>
                </c:pt>
                <c:pt idx="11">
                  <c:v>2009</c:v>
                </c:pt>
                <c:pt idx="12">
                  <c:v>2010</c:v>
                </c:pt>
                <c:pt idx="13">
                  <c:v>2011</c:v>
                </c:pt>
                <c:pt idx="14">
                  <c:v>2012</c:v>
                </c:pt>
                <c:pt idx="15">
                  <c:v>2013</c:v>
                </c:pt>
                <c:pt idx="16">
                  <c:v>2014</c:v>
                </c:pt>
                <c:pt idx="17">
                  <c:v>2015</c:v>
                </c:pt>
                <c:pt idx="18">
                  <c:v>2016</c:v>
                </c:pt>
                <c:pt idx="19">
                  <c:v>2017</c:v>
                </c:pt>
                <c:pt idx="20">
                  <c:v>2018</c:v>
                </c:pt>
                <c:pt idx="21">
                  <c:v>2019</c:v>
                </c:pt>
                <c:pt idx="22">
                  <c:v>2020</c:v>
                </c:pt>
                <c:pt idx="23">
                  <c:v>2021</c:v>
                </c:pt>
                <c:pt idx="24">
                  <c:v>2022</c:v>
                </c:pt>
              </c:numCache>
            </c:numRef>
          </c:cat>
          <c:val>
            <c:numRef>
              <c:f>'All time series together'!$N$4:$N$28</c:f>
              <c:numCache>
                <c:formatCode>General</c:formatCode>
                <c:ptCount val="25"/>
                <c:pt idx="0">
                  <c:v>127.3</c:v>
                </c:pt>
                <c:pt idx="1">
                  <c:v>147.1</c:v>
                </c:pt>
                <c:pt idx="2">
                  <c:v>148</c:v>
                </c:pt>
                <c:pt idx="3">
                  <c:v>178.9</c:v>
                </c:pt>
                <c:pt idx="4">
                  <c:v>195.7</c:v>
                </c:pt>
                <c:pt idx="5">
                  <c:v>208.7</c:v>
                </c:pt>
                <c:pt idx="6">
                  <c:v>214.9</c:v>
                </c:pt>
                <c:pt idx="7">
                  <c:v>220</c:v>
                </c:pt>
                <c:pt idx="8">
                  <c:v>199.2</c:v>
                </c:pt>
                <c:pt idx="9">
                  <c:v>197.7</c:v>
                </c:pt>
                <c:pt idx="10">
                  <c:v>211.8</c:v>
                </c:pt>
                <c:pt idx="11">
                  <c:v>213.8</c:v>
                </c:pt>
                <c:pt idx="12">
                  <c:v>205.3</c:v>
                </c:pt>
                <c:pt idx="13">
                  <c:v>209.9</c:v>
                </c:pt>
                <c:pt idx="14">
                  <c:v>223.5</c:v>
                </c:pt>
                <c:pt idx="15">
                  <c:v>243</c:v>
                </c:pt>
                <c:pt idx="16">
                  <c:v>250.7</c:v>
                </c:pt>
                <c:pt idx="17">
                  <c:v>253.2</c:v>
                </c:pt>
                <c:pt idx="18">
                  <c:v>254.9</c:v>
                </c:pt>
                <c:pt idx="19">
                  <c:v>228.3</c:v>
                </c:pt>
                <c:pt idx="20">
                  <c:v>214.9</c:v>
                </c:pt>
                <c:pt idx="21">
                  <c:v>212</c:v>
                </c:pt>
                <c:pt idx="22">
                  <c:v>206.9</c:v>
                </c:pt>
                <c:pt idx="23">
                  <c:v>210.1</c:v>
                </c:pt>
                <c:pt idx="24">
                  <c:v>202</c:v>
                </c:pt>
              </c:numCache>
            </c:numRef>
          </c:val>
          <c:smooth val="0"/>
          <c:extLst>
            <c:ext xmlns:c16="http://schemas.microsoft.com/office/drawing/2014/chart" uri="{C3380CC4-5D6E-409C-BE32-E72D297353CC}">
              <c16:uniqueId val="{00000006-8492-4FB4-9AAD-F05BB39727F7}"/>
            </c:ext>
          </c:extLst>
        </c:ser>
        <c:dLbls>
          <c:showLegendKey val="0"/>
          <c:showVal val="0"/>
          <c:showCatName val="0"/>
          <c:showSerName val="0"/>
          <c:showPercent val="0"/>
          <c:showBubbleSize val="0"/>
        </c:dLbls>
        <c:hiLowLines>
          <c:spPr>
            <a:ln w="0">
              <a:noFill/>
            </a:ln>
          </c:spPr>
        </c:hiLowLines>
        <c:marker val="1"/>
        <c:smooth val="0"/>
        <c:axId val="48713145"/>
        <c:axId val="49563531"/>
      </c:lineChart>
      <c:catAx>
        <c:axId val="48713145"/>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49563531"/>
        <c:crosses val="autoZero"/>
        <c:auto val="1"/>
        <c:lblAlgn val="ctr"/>
        <c:lblOffset val="100"/>
        <c:noMultiLvlLbl val="0"/>
      </c:catAx>
      <c:valAx>
        <c:axId val="49563531"/>
        <c:scaling>
          <c:orientation val="minMax"/>
          <c:max val="275"/>
          <c:min val="100"/>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48713145"/>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400" b="0" strike="noStrike" spc="-1">
                <a:solidFill>
                  <a:srgbClr val="595959"/>
                </a:solidFill>
                <a:latin typeface="Calibri"/>
              </a:defRPr>
            </a:pPr>
            <a:r>
              <a:rPr lang="en-US" sz="1400" b="0" strike="noStrike" spc="-1">
                <a:solidFill>
                  <a:srgbClr val="595959"/>
                </a:solidFill>
                <a:latin typeface="Calibri"/>
              </a:rPr>
              <a:t>Trends (2002-22) of abundance for each update</a:t>
            </a:r>
          </a:p>
        </c:rich>
      </c:tx>
      <c:overlay val="0"/>
      <c:spPr>
        <a:noFill/>
        <a:ln w="0">
          <a:noFill/>
        </a:ln>
      </c:spPr>
    </c:title>
    <c:autoTitleDeleted val="0"/>
    <c:plotArea>
      <c:layout/>
      <c:lineChart>
        <c:grouping val="standard"/>
        <c:varyColors val="0"/>
        <c:ser>
          <c:idx val="0"/>
          <c:order val="0"/>
          <c:tx>
            <c:v>Cal 2010</c:v>
          </c:tx>
          <c:spPr>
            <a:ln w="28440" cap="rnd">
              <a:solidFill>
                <a:srgbClr val="4472C4"/>
              </a:solidFill>
              <a:round/>
            </a:ln>
          </c:spPr>
          <c:marker>
            <c:symbol val="circle"/>
            <c:size val="5"/>
            <c:spPr>
              <a:solidFill>
                <a:srgbClr val="4472C4"/>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'All time series together'!$A$8:$A$30</c:f>
              <c:numCache>
                <c:formatCode>General</c:formatCode>
                <c:ptCount val="2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numCache>
            </c:numRef>
          </c:cat>
          <c:val>
            <c:numRef>
              <c:f>'All time series together'!$B$8:$B$14</c:f>
              <c:numCache>
                <c:formatCode>General</c:formatCode>
                <c:ptCount val="7"/>
                <c:pt idx="0">
                  <c:v>209</c:v>
                </c:pt>
                <c:pt idx="1">
                  <c:v>192</c:v>
                </c:pt>
                <c:pt idx="2">
                  <c:v>209</c:v>
                </c:pt>
                <c:pt idx="3">
                  <c:v>200</c:v>
                </c:pt>
                <c:pt idx="4">
                  <c:v>178</c:v>
                </c:pt>
                <c:pt idx="5">
                  <c:v>202</c:v>
                </c:pt>
                <c:pt idx="6">
                  <c:v>225</c:v>
                </c:pt>
              </c:numCache>
            </c:numRef>
          </c:val>
          <c:smooth val="0"/>
          <c:extLst>
            <c:ext xmlns:c16="http://schemas.microsoft.com/office/drawing/2014/chart" uri="{C3380CC4-5D6E-409C-BE32-E72D297353CC}">
              <c16:uniqueId val="{00000000-8170-483F-9311-BEDD3B0B80C5}"/>
            </c:ext>
          </c:extLst>
        </c:ser>
        <c:ser>
          <c:idx val="1"/>
          <c:order val="1"/>
          <c:tx>
            <c:v>Cal 2012</c:v>
          </c:tx>
          <c:spPr>
            <a:ln w="28440" cap="rnd">
              <a:solidFill>
                <a:srgbClr val="ED7D31"/>
              </a:solidFill>
              <a:round/>
            </a:ln>
          </c:spPr>
          <c:marker>
            <c:symbol val="circle"/>
            <c:size val="5"/>
            <c:spPr>
              <a:solidFill>
                <a:srgbClr val="ED7D31"/>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'All time series together'!$A$8:$A$30</c:f>
              <c:numCache>
                <c:formatCode>General</c:formatCode>
                <c:ptCount val="2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numCache>
            </c:numRef>
          </c:cat>
          <c:val>
            <c:numRef>
              <c:f>'All time series together'!$D$8:$D$16</c:f>
              <c:numCache>
                <c:formatCode>General</c:formatCode>
                <c:ptCount val="9"/>
                <c:pt idx="0">
                  <c:v>193</c:v>
                </c:pt>
                <c:pt idx="1">
                  <c:v>202</c:v>
                </c:pt>
                <c:pt idx="2">
                  <c:v>209</c:v>
                </c:pt>
                <c:pt idx="3">
                  <c:v>208</c:v>
                </c:pt>
                <c:pt idx="4">
                  <c:v>190</c:v>
                </c:pt>
                <c:pt idx="5">
                  <c:v>184</c:v>
                </c:pt>
                <c:pt idx="6">
                  <c:v>192</c:v>
                </c:pt>
                <c:pt idx="7">
                  <c:v>185</c:v>
                </c:pt>
                <c:pt idx="8">
                  <c:v>188</c:v>
                </c:pt>
              </c:numCache>
            </c:numRef>
          </c:val>
          <c:smooth val="0"/>
          <c:extLst>
            <c:ext xmlns:c16="http://schemas.microsoft.com/office/drawing/2014/chart" uri="{C3380CC4-5D6E-409C-BE32-E72D297353CC}">
              <c16:uniqueId val="{00000001-8170-483F-9311-BEDD3B0B80C5}"/>
            </c:ext>
          </c:extLst>
        </c:ser>
        <c:ser>
          <c:idx val="2"/>
          <c:order val="2"/>
          <c:tx>
            <c:v>Cal 2014</c:v>
          </c:tx>
          <c:spPr>
            <a:ln w="28440" cap="rnd">
              <a:solidFill>
                <a:srgbClr val="A5A5A5"/>
              </a:solidFill>
              <a:round/>
            </a:ln>
          </c:spPr>
          <c:marker>
            <c:symbol val="circle"/>
            <c:size val="5"/>
            <c:spPr>
              <a:solidFill>
                <a:srgbClr val="A5A5A5"/>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'All time series together'!$A$8:$A$30</c:f>
              <c:numCache>
                <c:formatCode>General</c:formatCode>
                <c:ptCount val="2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numCache>
            </c:numRef>
          </c:cat>
          <c:val>
            <c:numRef>
              <c:f>'All time series together'!$F$8:$F$18</c:f>
              <c:numCache>
                <c:formatCode>General</c:formatCode>
                <c:ptCount val="11"/>
                <c:pt idx="0">
                  <c:v>198</c:v>
                </c:pt>
                <c:pt idx="1">
                  <c:v>210</c:v>
                </c:pt>
                <c:pt idx="2">
                  <c:v>218</c:v>
                </c:pt>
                <c:pt idx="3">
                  <c:v>219</c:v>
                </c:pt>
                <c:pt idx="4">
                  <c:v>200</c:v>
                </c:pt>
                <c:pt idx="5">
                  <c:v>194</c:v>
                </c:pt>
                <c:pt idx="6">
                  <c:v>207</c:v>
                </c:pt>
                <c:pt idx="7">
                  <c:v>206</c:v>
                </c:pt>
                <c:pt idx="8">
                  <c:v>194</c:v>
                </c:pt>
                <c:pt idx="9">
                  <c:v>197</c:v>
                </c:pt>
                <c:pt idx="10">
                  <c:v>209</c:v>
                </c:pt>
              </c:numCache>
            </c:numRef>
          </c:val>
          <c:smooth val="0"/>
          <c:extLst>
            <c:ext xmlns:c16="http://schemas.microsoft.com/office/drawing/2014/chart" uri="{C3380CC4-5D6E-409C-BE32-E72D297353CC}">
              <c16:uniqueId val="{00000002-8170-483F-9311-BEDD3B0B80C5}"/>
            </c:ext>
          </c:extLst>
        </c:ser>
        <c:ser>
          <c:idx val="3"/>
          <c:order val="3"/>
          <c:tx>
            <c:v>Cal 2017</c:v>
          </c:tx>
          <c:spPr>
            <a:ln w="28440" cap="rnd">
              <a:solidFill>
                <a:srgbClr val="FFC000"/>
              </a:solidFill>
              <a:round/>
            </a:ln>
          </c:spPr>
          <c:marker>
            <c:symbol val="circle"/>
            <c:size val="5"/>
            <c:spPr>
              <a:solidFill>
                <a:srgbClr val="FFC000"/>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'All time series together'!$A$8:$A$30</c:f>
              <c:numCache>
                <c:formatCode>General</c:formatCode>
                <c:ptCount val="2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numCache>
            </c:numRef>
          </c:cat>
          <c:val>
            <c:numRef>
              <c:f>'All time series together'!$H$8:$H$21</c:f>
              <c:numCache>
                <c:formatCode>General</c:formatCode>
                <c:ptCount val="14"/>
                <c:pt idx="0">
                  <c:v>197</c:v>
                </c:pt>
                <c:pt idx="1">
                  <c:v>207</c:v>
                </c:pt>
                <c:pt idx="2">
                  <c:v>216</c:v>
                </c:pt>
                <c:pt idx="3">
                  <c:v>215</c:v>
                </c:pt>
                <c:pt idx="4">
                  <c:v>197</c:v>
                </c:pt>
                <c:pt idx="5">
                  <c:v>192</c:v>
                </c:pt>
                <c:pt idx="6">
                  <c:v>210</c:v>
                </c:pt>
                <c:pt idx="7">
                  <c:v>208</c:v>
                </c:pt>
                <c:pt idx="8">
                  <c:v>200</c:v>
                </c:pt>
                <c:pt idx="9">
                  <c:v>205</c:v>
                </c:pt>
                <c:pt idx="10">
                  <c:v>217</c:v>
                </c:pt>
                <c:pt idx="11">
                  <c:v>235</c:v>
                </c:pt>
                <c:pt idx="12">
                  <c:v>238</c:v>
                </c:pt>
                <c:pt idx="13">
                  <c:v>243</c:v>
                </c:pt>
              </c:numCache>
            </c:numRef>
          </c:val>
          <c:smooth val="0"/>
          <c:extLst>
            <c:ext xmlns:c16="http://schemas.microsoft.com/office/drawing/2014/chart" uri="{C3380CC4-5D6E-409C-BE32-E72D297353CC}">
              <c16:uniqueId val="{00000003-8170-483F-9311-BEDD3B0B80C5}"/>
            </c:ext>
          </c:extLst>
        </c:ser>
        <c:ser>
          <c:idx val="4"/>
          <c:order val="4"/>
          <c:tx>
            <c:v>Cal 2020</c:v>
          </c:tx>
          <c:spPr>
            <a:ln w="28440" cap="rnd">
              <a:solidFill>
                <a:srgbClr val="5B9BD5"/>
              </a:solidFill>
              <a:round/>
            </a:ln>
          </c:spPr>
          <c:marker>
            <c:symbol val="circle"/>
            <c:size val="5"/>
            <c:spPr>
              <a:solidFill>
                <a:srgbClr val="5B9BD5"/>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'All time series together'!$A$8:$A$30</c:f>
              <c:numCache>
                <c:formatCode>General</c:formatCode>
                <c:ptCount val="2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numCache>
            </c:numRef>
          </c:cat>
          <c:val>
            <c:numRef>
              <c:f>'All time series together'!$J$8:$J$23</c:f>
              <c:numCache>
                <c:formatCode>General</c:formatCode>
                <c:ptCount val="16"/>
                <c:pt idx="0">
                  <c:v>197</c:v>
                </c:pt>
                <c:pt idx="1">
                  <c:v>207</c:v>
                </c:pt>
                <c:pt idx="2">
                  <c:v>216</c:v>
                </c:pt>
                <c:pt idx="3">
                  <c:v>216</c:v>
                </c:pt>
                <c:pt idx="4">
                  <c:v>199</c:v>
                </c:pt>
                <c:pt idx="5">
                  <c:v>195</c:v>
                </c:pt>
                <c:pt idx="6">
                  <c:v>214</c:v>
                </c:pt>
                <c:pt idx="7">
                  <c:v>211</c:v>
                </c:pt>
                <c:pt idx="8">
                  <c:v>203</c:v>
                </c:pt>
                <c:pt idx="9">
                  <c:v>208</c:v>
                </c:pt>
                <c:pt idx="10">
                  <c:v>220</c:v>
                </c:pt>
                <c:pt idx="11">
                  <c:v>240</c:v>
                </c:pt>
                <c:pt idx="12">
                  <c:v>243</c:v>
                </c:pt>
                <c:pt idx="13">
                  <c:v>250</c:v>
                </c:pt>
                <c:pt idx="14">
                  <c:v>246</c:v>
                </c:pt>
                <c:pt idx="15">
                  <c:v>232</c:v>
                </c:pt>
              </c:numCache>
            </c:numRef>
          </c:val>
          <c:smooth val="0"/>
          <c:extLst>
            <c:ext xmlns:c16="http://schemas.microsoft.com/office/drawing/2014/chart" uri="{C3380CC4-5D6E-409C-BE32-E72D297353CC}">
              <c16:uniqueId val="{00000004-8170-483F-9311-BEDD3B0B80C5}"/>
            </c:ext>
          </c:extLst>
        </c:ser>
        <c:ser>
          <c:idx val="5"/>
          <c:order val="5"/>
          <c:tx>
            <c:v>Har 2022</c:v>
          </c:tx>
          <c:spPr>
            <a:ln w="28440" cap="rnd">
              <a:solidFill>
                <a:srgbClr val="70AD47"/>
              </a:solidFill>
              <a:round/>
            </a:ln>
          </c:spPr>
          <c:marker>
            <c:symbol val="circle"/>
            <c:size val="5"/>
            <c:spPr>
              <a:solidFill>
                <a:srgbClr val="70AD47"/>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'All time series together'!$A$8:$A$30</c:f>
              <c:numCache>
                <c:formatCode>General</c:formatCode>
                <c:ptCount val="2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numCache>
            </c:numRef>
          </c:cat>
          <c:val>
            <c:numRef>
              <c:f>'All time series together'!$L$8:$L$26</c:f>
              <c:numCache>
                <c:formatCode>General</c:formatCode>
                <c:ptCount val="19"/>
                <c:pt idx="0">
                  <c:v>210</c:v>
                </c:pt>
                <c:pt idx="1">
                  <c:v>209</c:v>
                </c:pt>
                <c:pt idx="2">
                  <c:v>224</c:v>
                </c:pt>
                <c:pt idx="3">
                  <c:v>208</c:v>
                </c:pt>
                <c:pt idx="4">
                  <c:v>195</c:v>
                </c:pt>
                <c:pt idx="5">
                  <c:v>185</c:v>
                </c:pt>
                <c:pt idx="6">
                  <c:v>217</c:v>
                </c:pt>
                <c:pt idx="7">
                  <c:v>208</c:v>
                </c:pt>
                <c:pt idx="8">
                  <c:v>201</c:v>
                </c:pt>
                <c:pt idx="9">
                  <c:v>213</c:v>
                </c:pt>
                <c:pt idx="10">
                  <c:v>229</c:v>
                </c:pt>
                <c:pt idx="11">
                  <c:v>249</c:v>
                </c:pt>
                <c:pt idx="12">
                  <c:v>245</c:v>
                </c:pt>
                <c:pt idx="13">
                  <c:v>257</c:v>
                </c:pt>
                <c:pt idx="14">
                  <c:v>244</c:v>
                </c:pt>
                <c:pt idx="15">
                  <c:v>224</c:v>
                </c:pt>
                <c:pt idx="16">
                  <c:v>211</c:v>
                </c:pt>
                <c:pt idx="17">
                  <c:v>228</c:v>
                </c:pt>
                <c:pt idx="18">
                  <c:v>212</c:v>
                </c:pt>
              </c:numCache>
            </c:numRef>
          </c:val>
          <c:smooth val="0"/>
          <c:extLst>
            <c:ext xmlns:c16="http://schemas.microsoft.com/office/drawing/2014/chart" uri="{C3380CC4-5D6E-409C-BE32-E72D297353CC}">
              <c16:uniqueId val="{00000005-8170-483F-9311-BEDD3B0B80C5}"/>
            </c:ext>
          </c:extLst>
        </c:ser>
        <c:ser>
          <c:idx val="6"/>
          <c:order val="6"/>
          <c:tx>
            <c:v>Har 2024</c:v>
          </c:tx>
          <c:spPr>
            <a:ln w="28440" cap="rnd">
              <a:solidFill>
                <a:srgbClr val="264478"/>
              </a:solidFill>
              <a:round/>
            </a:ln>
          </c:spPr>
          <c:marker>
            <c:symbol val="circle"/>
            <c:size val="5"/>
            <c:spPr>
              <a:solidFill>
                <a:srgbClr val="264478"/>
              </a:solidFill>
            </c:spPr>
          </c:marker>
          <c:dLbls>
            <c:spPr>
              <a:noFill/>
              <a:ln>
                <a:noFill/>
              </a:ln>
              <a:effectLst/>
            </c:spPr>
            <c:txPr>
              <a:bodyPr wrap="square"/>
              <a:lstStyle/>
              <a:p>
                <a:pPr>
                  <a:defRPr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'All time series together'!$A$8:$A$30</c:f>
              <c:numCache>
                <c:formatCode>General</c:formatCode>
                <c:ptCount val="23"/>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numCache>
            </c:numRef>
          </c:cat>
          <c:val>
            <c:numRef>
              <c:f>'All time series together'!$N$8:$N$28</c:f>
              <c:numCache>
                <c:formatCode>General</c:formatCode>
                <c:ptCount val="21"/>
                <c:pt idx="0">
                  <c:v>195.7</c:v>
                </c:pt>
                <c:pt idx="1">
                  <c:v>208.7</c:v>
                </c:pt>
                <c:pt idx="2">
                  <c:v>214.9</c:v>
                </c:pt>
                <c:pt idx="3">
                  <c:v>220</c:v>
                </c:pt>
                <c:pt idx="4">
                  <c:v>199.2</c:v>
                </c:pt>
                <c:pt idx="5">
                  <c:v>197.7</c:v>
                </c:pt>
                <c:pt idx="6">
                  <c:v>211.8</c:v>
                </c:pt>
                <c:pt idx="7">
                  <c:v>213.8</c:v>
                </c:pt>
                <c:pt idx="8">
                  <c:v>205.3</c:v>
                </c:pt>
                <c:pt idx="9">
                  <c:v>209.9</c:v>
                </c:pt>
                <c:pt idx="10">
                  <c:v>223.5</c:v>
                </c:pt>
                <c:pt idx="11">
                  <c:v>243</c:v>
                </c:pt>
                <c:pt idx="12">
                  <c:v>250.7</c:v>
                </c:pt>
                <c:pt idx="13">
                  <c:v>253.2</c:v>
                </c:pt>
                <c:pt idx="14">
                  <c:v>254.9</c:v>
                </c:pt>
                <c:pt idx="15">
                  <c:v>228.3</c:v>
                </c:pt>
                <c:pt idx="16">
                  <c:v>214.9</c:v>
                </c:pt>
                <c:pt idx="17">
                  <c:v>212</c:v>
                </c:pt>
                <c:pt idx="18">
                  <c:v>206.9</c:v>
                </c:pt>
                <c:pt idx="19">
                  <c:v>210.1</c:v>
                </c:pt>
                <c:pt idx="20">
                  <c:v>202</c:v>
                </c:pt>
              </c:numCache>
            </c:numRef>
          </c:val>
          <c:smooth val="0"/>
          <c:extLst>
            <c:ext xmlns:c16="http://schemas.microsoft.com/office/drawing/2014/chart" uri="{C3380CC4-5D6E-409C-BE32-E72D297353CC}">
              <c16:uniqueId val="{00000006-8170-483F-9311-BEDD3B0B80C5}"/>
            </c:ext>
          </c:extLst>
        </c:ser>
        <c:ser>
          <c:idx val="7"/>
          <c:order val="7"/>
          <c:tx>
            <c:v>Har 2025</c:v>
          </c:tx>
          <c:val>
            <c:numRef>
              <c:f>'All time series together'!$P$8:$P$29</c:f>
              <c:numCache>
                <c:formatCode>0.0</c:formatCode>
                <c:ptCount val="22"/>
                <c:pt idx="0">
                  <c:v>196.01685678811401</c:v>
                </c:pt>
                <c:pt idx="1">
                  <c:v>208.82418564147699</c:v>
                </c:pt>
                <c:pt idx="2">
                  <c:v>215.172796387001</c:v>
                </c:pt>
                <c:pt idx="3">
                  <c:v>220.739577368375</c:v>
                </c:pt>
                <c:pt idx="4">
                  <c:v>199.117959941615</c:v>
                </c:pt>
                <c:pt idx="5">
                  <c:v>198.28070032674299</c:v>
                </c:pt>
                <c:pt idx="6">
                  <c:v>212.08318328902399</c:v>
                </c:pt>
                <c:pt idx="7">
                  <c:v>213.87108533163399</c:v>
                </c:pt>
                <c:pt idx="8">
                  <c:v>205.551464869314</c:v>
                </c:pt>
                <c:pt idx="9">
                  <c:v>210.071773804624</c:v>
                </c:pt>
                <c:pt idx="10">
                  <c:v>223.79019738445501</c:v>
                </c:pt>
                <c:pt idx="11">
                  <c:v>243.241839072342</c:v>
                </c:pt>
                <c:pt idx="12">
                  <c:v>251.68848438331</c:v>
                </c:pt>
                <c:pt idx="13">
                  <c:v>254.12093644515201</c:v>
                </c:pt>
                <c:pt idx="14">
                  <c:v>262.47232169524102</c:v>
                </c:pt>
                <c:pt idx="15">
                  <c:v>235.47966483710701</c:v>
                </c:pt>
                <c:pt idx="16">
                  <c:v>224.46214527399201</c:v>
                </c:pt>
                <c:pt idx="17">
                  <c:v>223.51130570648601</c:v>
                </c:pt>
                <c:pt idx="18">
                  <c:v>216.79273162138901</c:v>
                </c:pt>
                <c:pt idx="19">
                  <c:v>219.36919398630599</c:v>
                </c:pt>
                <c:pt idx="20">
                  <c:v>208.00715884413299</c:v>
                </c:pt>
                <c:pt idx="21">
                  <c:v>213.065623234295</c:v>
                </c:pt>
              </c:numCache>
            </c:numRef>
          </c:val>
          <c:smooth val="0"/>
          <c:extLst>
            <c:ext xmlns:c16="http://schemas.microsoft.com/office/drawing/2014/chart" uri="{C3380CC4-5D6E-409C-BE32-E72D297353CC}">
              <c16:uniqueId val="{00000009-8170-483F-9311-BEDD3B0B80C5}"/>
            </c:ext>
          </c:extLst>
        </c:ser>
        <c:ser>
          <c:idx val="8"/>
          <c:order val="8"/>
          <c:tx>
            <c:v>Mah 2026</c:v>
          </c:tx>
          <c:val>
            <c:numRef>
              <c:f>'All time series together'!$R$8:$R$30</c:f>
              <c:numCache>
                <c:formatCode>General</c:formatCode>
                <c:ptCount val="23"/>
                <c:pt idx="0">
                  <c:v>196.01</c:v>
                </c:pt>
                <c:pt idx="1">
                  <c:v>208.76</c:v>
                </c:pt>
                <c:pt idx="2">
                  <c:v>215.26</c:v>
                </c:pt>
                <c:pt idx="3">
                  <c:v>222.69</c:v>
                </c:pt>
                <c:pt idx="4">
                  <c:v>200.6</c:v>
                </c:pt>
                <c:pt idx="5">
                  <c:v>199.64</c:v>
                </c:pt>
                <c:pt idx="6">
                  <c:v>213.94</c:v>
                </c:pt>
                <c:pt idx="7">
                  <c:v>216.06</c:v>
                </c:pt>
                <c:pt idx="8">
                  <c:v>207.54</c:v>
                </c:pt>
                <c:pt idx="9">
                  <c:v>212.02</c:v>
                </c:pt>
                <c:pt idx="10">
                  <c:v>225.89</c:v>
                </c:pt>
                <c:pt idx="11">
                  <c:v>245.35</c:v>
                </c:pt>
                <c:pt idx="12">
                  <c:v>253.99</c:v>
                </c:pt>
                <c:pt idx="13">
                  <c:v>255.86</c:v>
                </c:pt>
                <c:pt idx="14">
                  <c:v>266.58999999999997</c:v>
                </c:pt>
                <c:pt idx="15">
                  <c:v>237.94</c:v>
                </c:pt>
                <c:pt idx="16">
                  <c:v>227.02</c:v>
                </c:pt>
                <c:pt idx="17">
                  <c:v>226.63</c:v>
                </c:pt>
                <c:pt idx="18">
                  <c:v>220.79</c:v>
                </c:pt>
                <c:pt idx="19">
                  <c:v>222.55</c:v>
                </c:pt>
                <c:pt idx="20">
                  <c:v>213</c:v>
                </c:pt>
                <c:pt idx="21">
                  <c:v>219.24</c:v>
                </c:pt>
                <c:pt idx="22">
                  <c:v>217.76</c:v>
                </c:pt>
              </c:numCache>
            </c:numRef>
          </c:val>
          <c:smooth val="0"/>
          <c:extLst>
            <c:ext xmlns:c16="http://schemas.microsoft.com/office/drawing/2014/chart" uri="{C3380CC4-5D6E-409C-BE32-E72D297353CC}">
              <c16:uniqueId val="{0000000A-8170-483F-9311-BEDD3B0B80C5}"/>
            </c:ext>
          </c:extLst>
        </c:ser>
        <c:dLbls>
          <c:showLegendKey val="0"/>
          <c:showVal val="0"/>
          <c:showCatName val="0"/>
          <c:showSerName val="0"/>
          <c:showPercent val="0"/>
          <c:showBubbleSize val="0"/>
        </c:dLbls>
        <c:hiLowLines>
          <c:spPr>
            <a:ln w="0">
              <a:noFill/>
            </a:ln>
          </c:spPr>
        </c:hiLowLines>
        <c:marker val="1"/>
        <c:smooth val="0"/>
        <c:axId val="78615732"/>
        <c:axId val="63262850"/>
      </c:lineChart>
      <c:catAx>
        <c:axId val="78615732"/>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900" b="0" strike="noStrike" spc="-1">
                <a:solidFill>
                  <a:srgbClr val="595959"/>
                </a:solidFill>
                <a:latin typeface="Calibri"/>
              </a:defRPr>
            </a:pPr>
            <a:endParaRPr lang="en-US"/>
          </a:p>
        </c:txPr>
        <c:crossAx val="63262850"/>
        <c:crosses val="autoZero"/>
        <c:auto val="1"/>
        <c:lblAlgn val="ctr"/>
        <c:lblOffset val="100"/>
        <c:noMultiLvlLbl val="0"/>
      </c:catAx>
      <c:valAx>
        <c:axId val="63262850"/>
        <c:scaling>
          <c:orientation val="minMax"/>
          <c:max val="275"/>
          <c:min val="170"/>
        </c:scaling>
        <c:delete val="0"/>
        <c:axPos val="l"/>
        <c:majorGridlines>
          <c:spPr>
            <a:ln w="9360">
              <a:solidFill>
                <a:srgbClr val="D9D9D9"/>
              </a:solidFill>
              <a:round/>
            </a:ln>
          </c:spPr>
        </c:majorGridlines>
        <c:numFmt formatCode="General" sourceLinked="0"/>
        <c:majorTickMark val="none"/>
        <c:minorTickMark val="none"/>
        <c:tickLblPos val="nextTo"/>
        <c:spPr>
          <a:ln w="6480">
            <a:noFill/>
          </a:ln>
        </c:spPr>
        <c:txPr>
          <a:bodyPr/>
          <a:lstStyle/>
          <a:p>
            <a:pPr>
              <a:defRPr sz="900" b="0" strike="noStrike" spc="-1">
                <a:solidFill>
                  <a:srgbClr val="595959"/>
                </a:solidFill>
                <a:latin typeface="Calibri"/>
              </a:defRPr>
            </a:pPr>
            <a:endParaRPr lang="en-US"/>
          </a:p>
        </c:txPr>
        <c:crossAx val="78615732"/>
        <c:crosses val="autoZero"/>
        <c:crossBetween val="between"/>
      </c:valAx>
      <c:spPr>
        <a:noFill/>
        <a:ln w="0">
          <a:noFill/>
        </a:ln>
      </c:spPr>
    </c:plotArea>
    <c:legend>
      <c:legendPos val="b"/>
      <c:overlay val="0"/>
      <c:spPr>
        <a:noFill/>
        <a:ln w="0">
          <a:noFill/>
        </a:ln>
      </c:spPr>
      <c:txPr>
        <a:bodyPr/>
        <a:lstStyle/>
        <a:p>
          <a:pPr>
            <a:defRPr sz="900" b="0" strike="noStrike" spc="-1">
              <a:solidFill>
                <a:srgbClr val="595959"/>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24</xdr:col>
      <xdr:colOff>222175</xdr:colOff>
      <xdr:row>16</xdr:row>
      <xdr:rowOff>112780</xdr:rowOff>
    </xdr:from>
    <xdr:to>
      <xdr:col>31</xdr:col>
      <xdr:colOff>526735</xdr:colOff>
      <xdr:row>31</xdr:row>
      <xdr:rowOff>20270</xdr:rowOff>
    </xdr:to>
    <xdr:graphicFrame macro="">
      <xdr:nvGraphicFramePr>
        <xdr:cNvPr id="2" name="Chart 2">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24</xdr:col>
      <xdr:colOff>237960</xdr:colOff>
      <xdr:row>1</xdr:row>
      <xdr:rowOff>76320</xdr:rowOff>
    </xdr:from>
    <xdr:to>
      <xdr:col>31</xdr:col>
      <xdr:colOff>542520</xdr:colOff>
      <xdr:row>14</xdr:row>
      <xdr:rowOff>142560</xdr:rowOff>
    </xdr:to>
    <xdr:graphicFrame macro="">
      <xdr:nvGraphicFramePr>
        <xdr:cNvPr id="3" name="Chart 3">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zoomScaleNormal="100" workbookViewId="0">
      <selection activeCell="A6" sqref="A6"/>
    </sheetView>
  </sheetViews>
  <sheetFormatPr defaultColWidth="8.81640625" defaultRowHeight="14.5" x14ac:dyDescent="0.35"/>
  <cols>
    <col min="1" max="1" width="68.54296875" customWidth="1"/>
  </cols>
  <sheetData>
    <row r="1" spans="1:1" ht="43.5" x14ac:dyDescent="0.35">
      <c r="A1" s="2" t="s">
        <v>0</v>
      </c>
    </row>
    <row r="2" spans="1:1" x14ac:dyDescent="0.35">
      <c r="A2" s="2"/>
    </row>
    <row r="3" spans="1:1" ht="58" x14ac:dyDescent="0.35">
      <c r="A3" s="2" t="s">
        <v>1</v>
      </c>
    </row>
    <row r="4" spans="1:1" x14ac:dyDescent="0.35">
      <c r="A4" s="2"/>
    </row>
    <row r="5" spans="1:1" ht="145" x14ac:dyDescent="0.35">
      <c r="A5" s="2" t="s">
        <v>2</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zoomScaleNormal="100" workbookViewId="0">
      <selection activeCell="B1" sqref="B1"/>
    </sheetView>
  </sheetViews>
  <sheetFormatPr defaultColWidth="8.81640625" defaultRowHeight="14.5" x14ac:dyDescent="0.35"/>
  <sheetData>
    <row r="1" spans="1:3" x14ac:dyDescent="0.35">
      <c r="A1" t="s">
        <v>3</v>
      </c>
      <c r="B1" t="s">
        <v>4</v>
      </c>
      <c r="C1" t="s">
        <v>5</v>
      </c>
    </row>
    <row r="2" spans="1:3" x14ac:dyDescent="0.35">
      <c r="A2">
        <v>1998</v>
      </c>
      <c r="B2">
        <v>138</v>
      </c>
      <c r="C2">
        <v>2.2000000000000002</v>
      </c>
    </row>
    <row r="3" spans="1:3" x14ac:dyDescent="0.35">
      <c r="A3">
        <v>1999</v>
      </c>
      <c r="B3">
        <v>191</v>
      </c>
      <c r="C3">
        <v>6.6</v>
      </c>
    </row>
    <row r="4" spans="1:3" x14ac:dyDescent="0.35">
      <c r="A4">
        <v>2000</v>
      </c>
      <c r="B4">
        <v>174</v>
      </c>
      <c r="C4">
        <v>7.2</v>
      </c>
    </row>
    <row r="5" spans="1:3" x14ac:dyDescent="0.35">
      <c r="A5">
        <v>2001</v>
      </c>
      <c r="B5">
        <v>216</v>
      </c>
      <c r="C5">
        <v>9.5</v>
      </c>
    </row>
    <row r="6" spans="1:3" x14ac:dyDescent="0.35">
      <c r="A6">
        <v>2002</v>
      </c>
      <c r="B6">
        <v>209</v>
      </c>
      <c r="C6">
        <v>8.6999999999999993</v>
      </c>
    </row>
    <row r="7" spans="1:3" x14ac:dyDescent="0.35">
      <c r="A7">
        <v>2003</v>
      </c>
      <c r="B7">
        <v>192</v>
      </c>
      <c r="C7">
        <v>9.8000000000000007</v>
      </c>
    </row>
    <row r="8" spans="1:3" x14ac:dyDescent="0.35">
      <c r="A8">
        <v>2004</v>
      </c>
      <c r="B8">
        <v>209</v>
      </c>
      <c r="C8">
        <v>10.8</v>
      </c>
    </row>
    <row r="9" spans="1:3" x14ac:dyDescent="0.35">
      <c r="A9">
        <v>2005</v>
      </c>
      <c r="B9">
        <v>200</v>
      </c>
      <c r="C9">
        <v>12</v>
      </c>
    </row>
    <row r="10" spans="1:3" x14ac:dyDescent="0.35">
      <c r="A10">
        <v>2006</v>
      </c>
      <c r="B10">
        <v>178</v>
      </c>
      <c r="C10">
        <v>11.8</v>
      </c>
    </row>
    <row r="11" spans="1:3" x14ac:dyDescent="0.35">
      <c r="A11">
        <v>2007</v>
      </c>
      <c r="B11">
        <v>202</v>
      </c>
      <c r="C11">
        <v>14.6</v>
      </c>
    </row>
    <row r="12" spans="1:3" x14ac:dyDescent="0.35">
      <c r="A12">
        <v>2008</v>
      </c>
      <c r="B12">
        <v>225</v>
      </c>
      <c r="C12">
        <v>16.399999999999999</v>
      </c>
    </row>
  </sheetData>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zoomScaleNormal="100" workbookViewId="0">
      <selection activeCell="B1" sqref="B1"/>
    </sheetView>
  </sheetViews>
  <sheetFormatPr defaultColWidth="8.81640625" defaultRowHeight="14.5" x14ac:dyDescent="0.35"/>
  <sheetData>
    <row r="1" spans="1:3" x14ac:dyDescent="0.35">
      <c r="A1" t="s">
        <v>3</v>
      </c>
      <c r="B1" t="s">
        <v>4</v>
      </c>
      <c r="C1" t="s">
        <v>5</v>
      </c>
    </row>
    <row r="2" spans="1:3" x14ac:dyDescent="0.35">
      <c r="A2">
        <v>1998</v>
      </c>
      <c r="B2">
        <v>103</v>
      </c>
      <c r="C2">
        <v>6.4</v>
      </c>
    </row>
    <row r="3" spans="1:3" x14ac:dyDescent="0.35">
      <c r="A3">
        <v>1999</v>
      </c>
      <c r="B3">
        <v>135</v>
      </c>
      <c r="C3">
        <v>12</v>
      </c>
    </row>
    <row r="4" spans="1:3" x14ac:dyDescent="0.35">
      <c r="A4">
        <v>2000</v>
      </c>
      <c r="B4">
        <v>141</v>
      </c>
      <c r="C4">
        <v>13.2</v>
      </c>
    </row>
    <row r="5" spans="1:3" x14ac:dyDescent="0.35">
      <c r="A5">
        <v>2001</v>
      </c>
      <c r="B5">
        <v>175</v>
      </c>
      <c r="C5">
        <v>12.6</v>
      </c>
    </row>
    <row r="6" spans="1:3" x14ac:dyDescent="0.35">
      <c r="A6">
        <v>2002</v>
      </c>
      <c r="B6">
        <v>193</v>
      </c>
      <c r="C6">
        <v>9.3000000000000007</v>
      </c>
    </row>
    <row r="7" spans="1:3" x14ac:dyDescent="0.35">
      <c r="A7">
        <v>2003</v>
      </c>
      <c r="B7">
        <v>202</v>
      </c>
      <c r="C7">
        <v>16.5</v>
      </c>
    </row>
    <row r="8" spans="1:3" x14ac:dyDescent="0.35">
      <c r="A8">
        <v>2004</v>
      </c>
      <c r="B8">
        <v>209</v>
      </c>
      <c r="C8">
        <v>14.9</v>
      </c>
    </row>
    <row r="9" spans="1:3" x14ac:dyDescent="0.35">
      <c r="A9">
        <v>2005</v>
      </c>
      <c r="B9">
        <v>208</v>
      </c>
      <c r="C9">
        <v>22.6</v>
      </c>
    </row>
    <row r="10" spans="1:3" x14ac:dyDescent="0.35">
      <c r="A10">
        <v>2006</v>
      </c>
      <c r="B10">
        <v>190</v>
      </c>
      <c r="C10">
        <v>18.8</v>
      </c>
    </row>
    <row r="11" spans="1:3" x14ac:dyDescent="0.35">
      <c r="A11">
        <v>2007</v>
      </c>
      <c r="B11">
        <v>184</v>
      </c>
      <c r="C11">
        <v>23.1</v>
      </c>
    </row>
    <row r="12" spans="1:3" x14ac:dyDescent="0.35">
      <c r="A12">
        <v>2008</v>
      </c>
      <c r="B12">
        <v>192</v>
      </c>
      <c r="C12">
        <v>16.100000000000001</v>
      </c>
    </row>
    <row r="13" spans="1:3" x14ac:dyDescent="0.35">
      <c r="A13">
        <v>2009</v>
      </c>
      <c r="B13">
        <v>185</v>
      </c>
      <c r="C13">
        <v>23.2</v>
      </c>
    </row>
    <row r="14" spans="1:3" x14ac:dyDescent="0.35">
      <c r="A14">
        <v>2010</v>
      </c>
      <c r="B14">
        <v>188</v>
      </c>
      <c r="C14">
        <v>18.7</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6"/>
  <sheetViews>
    <sheetView zoomScaleNormal="100" workbookViewId="0">
      <selection activeCell="C16" sqref="C16"/>
    </sheetView>
  </sheetViews>
  <sheetFormatPr defaultColWidth="8.81640625" defaultRowHeight="14.5" x14ac:dyDescent="0.35"/>
  <sheetData>
    <row r="1" spans="1:3" x14ac:dyDescent="0.35">
      <c r="A1" t="s">
        <v>3</v>
      </c>
      <c r="B1" t="s">
        <v>4</v>
      </c>
      <c r="C1" t="s">
        <v>5</v>
      </c>
    </row>
    <row r="2" spans="1:3" x14ac:dyDescent="0.35">
      <c r="A2">
        <v>1998</v>
      </c>
      <c r="B2">
        <v>126</v>
      </c>
      <c r="C2">
        <v>10.8</v>
      </c>
    </row>
    <row r="3" spans="1:3" x14ac:dyDescent="0.35">
      <c r="A3">
        <v>1999</v>
      </c>
      <c r="B3">
        <v>147</v>
      </c>
      <c r="C3">
        <v>15</v>
      </c>
    </row>
    <row r="4" spans="1:3" x14ac:dyDescent="0.35">
      <c r="A4">
        <v>2000</v>
      </c>
      <c r="B4">
        <v>149</v>
      </c>
      <c r="C4">
        <v>15.1</v>
      </c>
    </row>
    <row r="5" spans="1:3" x14ac:dyDescent="0.35">
      <c r="A5">
        <v>2001</v>
      </c>
      <c r="B5">
        <v>181</v>
      </c>
      <c r="C5">
        <v>14</v>
      </c>
    </row>
    <row r="6" spans="1:3" x14ac:dyDescent="0.35">
      <c r="A6">
        <v>2002</v>
      </c>
      <c r="B6">
        <v>198</v>
      </c>
      <c r="C6">
        <v>13.2</v>
      </c>
    </row>
    <row r="7" spans="1:3" x14ac:dyDescent="0.35">
      <c r="A7">
        <v>2003</v>
      </c>
      <c r="B7">
        <v>210</v>
      </c>
      <c r="C7">
        <v>18.100000000000001</v>
      </c>
    </row>
    <row r="8" spans="1:3" x14ac:dyDescent="0.35">
      <c r="A8">
        <v>2004</v>
      </c>
      <c r="B8">
        <v>218</v>
      </c>
      <c r="C8">
        <v>17</v>
      </c>
    </row>
    <row r="9" spans="1:3" x14ac:dyDescent="0.35">
      <c r="A9">
        <v>2005</v>
      </c>
      <c r="B9">
        <v>219</v>
      </c>
      <c r="C9">
        <v>26.3</v>
      </c>
    </row>
    <row r="10" spans="1:3" x14ac:dyDescent="0.35">
      <c r="A10">
        <v>2006</v>
      </c>
      <c r="B10">
        <v>200</v>
      </c>
      <c r="C10">
        <v>21.4</v>
      </c>
    </row>
    <row r="11" spans="1:3" x14ac:dyDescent="0.35">
      <c r="A11">
        <v>2007</v>
      </c>
      <c r="B11">
        <v>194</v>
      </c>
      <c r="C11">
        <v>25.8</v>
      </c>
    </row>
    <row r="12" spans="1:3" x14ac:dyDescent="0.35">
      <c r="A12">
        <v>2008</v>
      </c>
      <c r="B12">
        <v>207</v>
      </c>
      <c r="C12">
        <v>18.399999999999999</v>
      </c>
    </row>
    <row r="13" spans="1:3" x14ac:dyDescent="0.35">
      <c r="A13">
        <v>2009</v>
      </c>
      <c r="B13">
        <v>206</v>
      </c>
      <c r="C13">
        <v>20.3</v>
      </c>
    </row>
    <row r="14" spans="1:3" x14ac:dyDescent="0.35">
      <c r="A14">
        <v>2010</v>
      </c>
      <c r="B14">
        <v>194</v>
      </c>
      <c r="C14">
        <v>18.399999999999999</v>
      </c>
    </row>
    <row r="15" spans="1:3" x14ac:dyDescent="0.35">
      <c r="A15">
        <v>2011</v>
      </c>
      <c r="B15">
        <v>197</v>
      </c>
      <c r="C15">
        <v>15.8</v>
      </c>
    </row>
    <row r="16" spans="1:3" x14ac:dyDescent="0.35">
      <c r="A16">
        <v>2012</v>
      </c>
      <c r="B16">
        <v>209</v>
      </c>
      <c r="C16">
        <v>15.4</v>
      </c>
    </row>
  </sheetData>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9"/>
  <sheetViews>
    <sheetView zoomScaleNormal="100" workbookViewId="0">
      <selection activeCell="C19" sqref="C19"/>
    </sheetView>
  </sheetViews>
  <sheetFormatPr defaultColWidth="8.81640625" defaultRowHeight="14.5" x14ac:dyDescent="0.35"/>
  <sheetData>
    <row r="1" spans="1:3" x14ac:dyDescent="0.35">
      <c r="A1" t="s">
        <v>3</v>
      </c>
      <c r="B1" t="s">
        <v>6</v>
      </c>
      <c r="C1" t="s">
        <v>5</v>
      </c>
    </row>
    <row r="2" spans="1:3" x14ac:dyDescent="0.35">
      <c r="A2">
        <v>1998</v>
      </c>
      <c r="B2">
        <v>126</v>
      </c>
      <c r="C2">
        <v>11</v>
      </c>
    </row>
    <row r="3" spans="1:3" x14ac:dyDescent="0.35">
      <c r="A3">
        <v>1999</v>
      </c>
      <c r="B3">
        <v>145</v>
      </c>
      <c r="C3">
        <v>14.6</v>
      </c>
    </row>
    <row r="4" spans="1:3" x14ac:dyDescent="0.35">
      <c r="A4">
        <v>2000</v>
      </c>
      <c r="B4">
        <v>146</v>
      </c>
      <c r="C4">
        <v>14.4</v>
      </c>
    </row>
    <row r="5" spans="1:3" x14ac:dyDescent="0.35">
      <c r="A5">
        <v>2001</v>
      </c>
      <c r="B5">
        <v>178</v>
      </c>
      <c r="C5">
        <v>13.5</v>
      </c>
    </row>
    <row r="6" spans="1:3" x14ac:dyDescent="0.35">
      <c r="A6">
        <v>2002</v>
      </c>
      <c r="B6">
        <v>197</v>
      </c>
      <c r="C6">
        <v>14.1</v>
      </c>
    </row>
    <row r="7" spans="1:3" x14ac:dyDescent="0.35">
      <c r="A7">
        <v>2003</v>
      </c>
      <c r="B7">
        <v>207</v>
      </c>
      <c r="C7">
        <v>17.5</v>
      </c>
    </row>
    <row r="8" spans="1:3" x14ac:dyDescent="0.35">
      <c r="A8">
        <v>2004</v>
      </c>
      <c r="B8">
        <v>216</v>
      </c>
      <c r="C8">
        <v>16.600000000000001</v>
      </c>
    </row>
    <row r="9" spans="1:3" x14ac:dyDescent="0.35">
      <c r="A9">
        <v>2005</v>
      </c>
      <c r="B9">
        <v>215</v>
      </c>
      <c r="C9">
        <v>26.7</v>
      </c>
    </row>
    <row r="10" spans="1:3" x14ac:dyDescent="0.35">
      <c r="A10">
        <v>2006</v>
      </c>
      <c r="B10">
        <v>197</v>
      </c>
      <c r="C10">
        <v>21.4</v>
      </c>
    </row>
    <row r="11" spans="1:3" x14ac:dyDescent="0.35">
      <c r="A11">
        <v>2007</v>
      </c>
      <c r="B11">
        <v>192</v>
      </c>
      <c r="C11">
        <v>26</v>
      </c>
    </row>
    <row r="12" spans="1:3" x14ac:dyDescent="0.35">
      <c r="A12">
        <v>2008</v>
      </c>
      <c r="B12">
        <v>210</v>
      </c>
      <c r="C12">
        <v>18.600000000000001</v>
      </c>
    </row>
    <row r="13" spans="1:3" x14ac:dyDescent="0.35">
      <c r="A13">
        <v>2009</v>
      </c>
      <c r="B13">
        <v>208</v>
      </c>
      <c r="C13">
        <v>21.2</v>
      </c>
    </row>
    <row r="14" spans="1:3" x14ac:dyDescent="0.35">
      <c r="A14">
        <v>2010</v>
      </c>
      <c r="B14">
        <v>200</v>
      </c>
      <c r="C14">
        <v>19.100000000000001</v>
      </c>
    </row>
    <row r="15" spans="1:3" x14ac:dyDescent="0.35">
      <c r="A15">
        <v>2011</v>
      </c>
      <c r="B15">
        <v>205</v>
      </c>
      <c r="C15">
        <v>15.9</v>
      </c>
    </row>
    <row r="16" spans="1:3" x14ac:dyDescent="0.35">
      <c r="A16">
        <v>2012</v>
      </c>
      <c r="B16">
        <v>217</v>
      </c>
      <c r="C16">
        <v>11.3</v>
      </c>
    </row>
    <row r="17" spans="1:3" x14ac:dyDescent="0.35">
      <c r="A17">
        <v>2013</v>
      </c>
      <c r="B17">
        <v>235</v>
      </c>
      <c r="C17">
        <v>14</v>
      </c>
    </row>
    <row r="18" spans="1:3" x14ac:dyDescent="0.35">
      <c r="A18">
        <v>2014</v>
      </c>
      <c r="B18">
        <v>238</v>
      </c>
      <c r="C18">
        <v>19</v>
      </c>
    </row>
    <row r="19" spans="1:3" x14ac:dyDescent="0.35">
      <c r="A19">
        <v>2015</v>
      </c>
      <c r="B19">
        <v>243</v>
      </c>
      <c r="C19">
        <v>18.899999999999999</v>
      </c>
    </row>
  </sheetData>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1"/>
  <sheetViews>
    <sheetView topLeftCell="A16" zoomScaleNormal="100" workbookViewId="0">
      <selection activeCell="B20" sqref="B20"/>
    </sheetView>
  </sheetViews>
  <sheetFormatPr defaultColWidth="8.81640625" defaultRowHeight="14.5" x14ac:dyDescent="0.35"/>
  <sheetData>
    <row r="1" spans="1:3" x14ac:dyDescent="0.35">
      <c r="A1" t="s">
        <v>3</v>
      </c>
      <c r="B1" t="s">
        <v>6</v>
      </c>
      <c r="C1" t="s">
        <v>5</v>
      </c>
    </row>
    <row r="2" spans="1:3" x14ac:dyDescent="0.35">
      <c r="A2">
        <v>1998</v>
      </c>
      <c r="B2">
        <v>125</v>
      </c>
      <c r="C2">
        <v>10.9</v>
      </c>
    </row>
    <row r="3" spans="1:3" x14ac:dyDescent="0.35">
      <c r="A3">
        <v>1999</v>
      </c>
      <c r="B3">
        <v>146</v>
      </c>
      <c r="C3">
        <v>14.2</v>
      </c>
    </row>
    <row r="4" spans="1:3" x14ac:dyDescent="0.35">
      <c r="A4">
        <v>2000</v>
      </c>
      <c r="B4">
        <v>147</v>
      </c>
      <c r="C4">
        <v>14.2</v>
      </c>
    </row>
    <row r="5" spans="1:3" x14ac:dyDescent="0.35">
      <c r="A5">
        <v>2001</v>
      </c>
      <c r="B5">
        <v>179</v>
      </c>
      <c r="C5">
        <v>13.4</v>
      </c>
    </row>
    <row r="6" spans="1:3" x14ac:dyDescent="0.35">
      <c r="A6">
        <v>2002</v>
      </c>
      <c r="B6">
        <v>197</v>
      </c>
      <c r="C6">
        <v>13.9</v>
      </c>
    </row>
    <row r="7" spans="1:3" x14ac:dyDescent="0.35">
      <c r="A7">
        <v>2003</v>
      </c>
      <c r="B7">
        <v>207</v>
      </c>
      <c r="C7">
        <v>17.3</v>
      </c>
    </row>
    <row r="8" spans="1:3" x14ac:dyDescent="0.35">
      <c r="A8">
        <v>2004</v>
      </c>
      <c r="B8">
        <v>216</v>
      </c>
      <c r="C8">
        <v>16.600000000000001</v>
      </c>
    </row>
    <row r="9" spans="1:3" x14ac:dyDescent="0.35">
      <c r="A9">
        <v>2005</v>
      </c>
      <c r="B9">
        <v>216</v>
      </c>
      <c r="C9">
        <v>26.1</v>
      </c>
    </row>
    <row r="10" spans="1:3" x14ac:dyDescent="0.35">
      <c r="A10">
        <v>2006</v>
      </c>
      <c r="B10">
        <v>199</v>
      </c>
      <c r="C10">
        <v>21.5</v>
      </c>
    </row>
    <row r="11" spans="1:3" x14ac:dyDescent="0.35">
      <c r="A11">
        <v>2007</v>
      </c>
      <c r="B11">
        <v>195</v>
      </c>
      <c r="C11">
        <v>26</v>
      </c>
    </row>
    <row r="12" spans="1:3" x14ac:dyDescent="0.35">
      <c r="A12">
        <v>2008</v>
      </c>
      <c r="B12">
        <v>214</v>
      </c>
      <c r="C12">
        <v>19</v>
      </c>
    </row>
    <row r="13" spans="1:3" x14ac:dyDescent="0.35">
      <c r="A13">
        <v>2009</v>
      </c>
      <c r="B13">
        <v>211</v>
      </c>
      <c r="C13">
        <v>21.4</v>
      </c>
    </row>
    <row r="14" spans="1:3" x14ac:dyDescent="0.35">
      <c r="A14">
        <v>2010</v>
      </c>
      <c r="B14">
        <v>203</v>
      </c>
      <c r="C14">
        <v>19.600000000000001</v>
      </c>
    </row>
    <row r="15" spans="1:3" x14ac:dyDescent="0.35">
      <c r="A15">
        <v>2011</v>
      </c>
      <c r="B15">
        <v>208</v>
      </c>
      <c r="C15">
        <v>16.2</v>
      </c>
    </row>
    <row r="16" spans="1:3" x14ac:dyDescent="0.35">
      <c r="A16">
        <v>2012</v>
      </c>
      <c r="B16">
        <v>220</v>
      </c>
      <c r="C16">
        <v>12.3</v>
      </c>
    </row>
    <row r="17" spans="1:3" x14ac:dyDescent="0.35">
      <c r="A17">
        <v>2013</v>
      </c>
      <c r="B17">
        <v>240</v>
      </c>
      <c r="C17">
        <v>14.1</v>
      </c>
    </row>
    <row r="18" spans="1:3" x14ac:dyDescent="0.35">
      <c r="A18">
        <v>2014</v>
      </c>
      <c r="B18">
        <v>243</v>
      </c>
      <c r="C18">
        <v>18.7</v>
      </c>
    </row>
    <row r="19" spans="1:3" x14ac:dyDescent="0.35">
      <c r="A19">
        <v>2015</v>
      </c>
      <c r="B19">
        <v>250</v>
      </c>
      <c r="C19">
        <v>18.2</v>
      </c>
    </row>
    <row r="20" spans="1:3" x14ac:dyDescent="0.35">
      <c r="A20">
        <v>2016</v>
      </c>
      <c r="B20">
        <v>246</v>
      </c>
      <c r="C20">
        <v>24.3</v>
      </c>
    </row>
    <row r="21" spans="1:3" x14ac:dyDescent="0.35">
      <c r="A21">
        <v>2017</v>
      </c>
      <c r="B21">
        <v>232</v>
      </c>
      <c r="C21">
        <v>25.2</v>
      </c>
    </row>
  </sheetData>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topLeftCell="A10" zoomScaleNormal="100" workbookViewId="0">
      <selection activeCell="B1" sqref="B1"/>
    </sheetView>
  </sheetViews>
  <sheetFormatPr defaultColWidth="8.81640625" defaultRowHeight="14.5" x14ac:dyDescent="0.35"/>
  <sheetData>
    <row r="1" spans="1:3" x14ac:dyDescent="0.35">
      <c r="A1" t="s">
        <v>3</v>
      </c>
      <c r="B1" t="s">
        <v>6</v>
      </c>
      <c r="C1" t="s">
        <v>5</v>
      </c>
    </row>
    <row r="2" spans="1:3" x14ac:dyDescent="0.35">
      <c r="A2">
        <v>1998</v>
      </c>
      <c r="B2">
        <v>133</v>
      </c>
      <c r="C2">
        <v>13.5</v>
      </c>
    </row>
    <row r="3" spans="1:3" x14ac:dyDescent="0.35">
      <c r="A3">
        <v>1999</v>
      </c>
      <c r="B3">
        <v>145</v>
      </c>
      <c r="C3">
        <v>14.3</v>
      </c>
    </row>
    <row r="4" spans="1:3" x14ac:dyDescent="0.35">
      <c r="A4">
        <v>2000</v>
      </c>
      <c r="B4">
        <v>147</v>
      </c>
      <c r="C4">
        <v>13.7</v>
      </c>
    </row>
    <row r="5" spans="1:3" x14ac:dyDescent="0.35">
      <c r="A5">
        <v>2001</v>
      </c>
      <c r="B5">
        <v>182</v>
      </c>
      <c r="C5">
        <v>13.4</v>
      </c>
    </row>
    <row r="6" spans="1:3" x14ac:dyDescent="0.35">
      <c r="A6">
        <v>2002</v>
      </c>
      <c r="B6">
        <v>210</v>
      </c>
      <c r="C6">
        <v>23.5</v>
      </c>
    </row>
    <row r="7" spans="1:3" x14ac:dyDescent="0.35">
      <c r="A7">
        <v>2003</v>
      </c>
      <c r="B7">
        <v>209</v>
      </c>
      <c r="C7">
        <v>16.5</v>
      </c>
    </row>
    <row r="8" spans="1:3" x14ac:dyDescent="0.35">
      <c r="A8">
        <v>2004</v>
      </c>
      <c r="B8">
        <v>224</v>
      </c>
      <c r="C8">
        <v>19.399999999999999</v>
      </c>
    </row>
    <row r="9" spans="1:3" x14ac:dyDescent="0.35">
      <c r="A9">
        <v>2005</v>
      </c>
      <c r="B9">
        <v>208</v>
      </c>
      <c r="C9">
        <v>29.3</v>
      </c>
    </row>
    <row r="10" spans="1:3" x14ac:dyDescent="0.35">
      <c r="A10">
        <v>2006</v>
      </c>
      <c r="B10">
        <v>195</v>
      </c>
      <c r="C10">
        <v>20.399999999999999</v>
      </c>
    </row>
    <row r="11" spans="1:3" x14ac:dyDescent="0.35">
      <c r="A11">
        <v>2007</v>
      </c>
      <c r="B11">
        <v>185</v>
      </c>
      <c r="C11">
        <v>28.5</v>
      </c>
    </row>
    <row r="12" spans="1:3" x14ac:dyDescent="0.35">
      <c r="A12">
        <v>2008</v>
      </c>
      <c r="B12">
        <v>217</v>
      </c>
      <c r="C12">
        <v>19.399999999999999</v>
      </c>
    </row>
    <row r="13" spans="1:3" x14ac:dyDescent="0.35">
      <c r="A13">
        <v>2009</v>
      </c>
      <c r="B13">
        <v>208</v>
      </c>
      <c r="C13">
        <v>21.3</v>
      </c>
    </row>
    <row r="14" spans="1:3" x14ac:dyDescent="0.35">
      <c r="A14">
        <v>2010</v>
      </c>
      <c r="B14">
        <v>201</v>
      </c>
      <c r="C14">
        <v>18.8</v>
      </c>
    </row>
    <row r="15" spans="1:3" x14ac:dyDescent="0.35">
      <c r="A15">
        <v>2011</v>
      </c>
      <c r="B15">
        <v>213</v>
      </c>
      <c r="C15">
        <v>16.8</v>
      </c>
    </row>
    <row r="16" spans="1:3" x14ac:dyDescent="0.35">
      <c r="A16">
        <v>2012</v>
      </c>
      <c r="B16">
        <v>229</v>
      </c>
      <c r="C16">
        <v>16.3</v>
      </c>
    </row>
    <row r="17" spans="1:3" x14ac:dyDescent="0.35">
      <c r="A17">
        <v>2013</v>
      </c>
      <c r="B17">
        <v>249</v>
      </c>
      <c r="C17">
        <v>17.5</v>
      </c>
    </row>
    <row r="18" spans="1:3" x14ac:dyDescent="0.35">
      <c r="A18">
        <v>2014</v>
      </c>
      <c r="B18">
        <v>245</v>
      </c>
      <c r="C18">
        <v>18.7</v>
      </c>
    </row>
    <row r="19" spans="1:3" x14ac:dyDescent="0.35">
      <c r="A19">
        <v>2015</v>
      </c>
      <c r="B19">
        <v>257</v>
      </c>
      <c r="C19">
        <v>17.899999999999999</v>
      </c>
    </row>
    <row r="20" spans="1:3" x14ac:dyDescent="0.35">
      <c r="A20">
        <v>2016</v>
      </c>
      <c r="B20">
        <v>244</v>
      </c>
      <c r="C20">
        <v>24.5</v>
      </c>
    </row>
    <row r="21" spans="1:3" x14ac:dyDescent="0.35">
      <c r="A21">
        <v>2017</v>
      </c>
      <c r="B21">
        <v>224</v>
      </c>
      <c r="C21">
        <v>22.1</v>
      </c>
    </row>
    <row r="22" spans="1:3" x14ac:dyDescent="0.35">
      <c r="A22">
        <v>2018</v>
      </c>
      <c r="B22">
        <v>211</v>
      </c>
      <c r="C22">
        <v>24.5</v>
      </c>
    </row>
    <row r="23" spans="1:3" x14ac:dyDescent="0.35">
      <c r="A23">
        <v>2019</v>
      </c>
      <c r="B23">
        <v>228</v>
      </c>
      <c r="C23">
        <v>24</v>
      </c>
    </row>
    <row r="24" spans="1:3" x14ac:dyDescent="0.35">
      <c r="A24">
        <v>2020</v>
      </c>
      <c r="B24">
        <v>212</v>
      </c>
      <c r="C24">
        <v>17.899999999999999</v>
      </c>
    </row>
  </sheetData>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6"/>
  <sheetViews>
    <sheetView zoomScaleNormal="100" workbookViewId="0">
      <selection activeCell="C1" sqref="C1"/>
    </sheetView>
  </sheetViews>
  <sheetFormatPr defaultColWidth="8.81640625" defaultRowHeight="14.5" x14ac:dyDescent="0.35"/>
  <sheetData>
    <row r="1" spans="1:3" x14ac:dyDescent="0.35">
      <c r="A1" t="s">
        <v>3</v>
      </c>
      <c r="B1" t="s">
        <v>6</v>
      </c>
      <c r="C1" t="s">
        <v>5</v>
      </c>
    </row>
    <row r="2" spans="1:3" x14ac:dyDescent="0.35">
      <c r="A2">
        <v>1998</v>
      </c>
      <c r="B2">
        <v>127.3</v>
      </c>
      <c r="C2">
        <v>10.5</v>
      </c>
    </row>
    <row r="3" spans="1:3" x14ac:dyDescent="0.35">
      <c r="A3">
        <v>1999</v>
      </c>
      <c r="B3">
        <v>147.1</v>
      </c>
      <c r="C3">
        <v>15.5</v>
      </c>
    </row>
    <row r="4" spans="1:3" x14ac:dyDescent="0.35">
      <c r="A4">
        <v>2000</v>
      </c>
      <c r="B4">
        <v>148</v>
      </c>
      <c r="C4">
        <v>15.3</v>
      </c>
    </row>
    <row r="5" spans="1:3" x14ac:dyDescent="0.35">
      <c r="A5">
        <v>2001</v>
      </c>
      <c r="B5">
        <v>178.9</v>
      </c>
      <c r="C5">
        <v>14.2</v>
      </c>
    </row>
    <row r="6" spans="1:3" x14ac:dyDescent="0.35">
      <c r="A6">
        <v>2002</v>
      </c>
      <c r="B6">
        <v>195.7</v>
      </c>
      <c r="C6">
        <v>10.3</v>
      </c>
    </row>
    <row r="7" spans="1:3" x14ac:dyDescent="0.35">
      <c r="A7">
        <v>2003</v>
      </c>
      <c r="B7">
        <v>208.7</v>
      </c>
      <c r="C7">
        <v>18.2</v>
      </c>
    </row>
    <row r="8" spans="1:3" x14ac:dyDescent="0.35">
      <c r="A8">
        <v>2004</v>
      </c>
      <c r="B8">
        <v>214.9</v>
      </c>
      <c r="C8">
        <v>16.2</v>
      </c>
    </row>
    <row r="9" spans="1:3" x14ac:dyDescent="0.35">
      <c r="A9">
        <v>2005</v>
      </c>
      <c r="B9">
        <v>220</v>
      </c>
      <c r="C9">
        <v>26.2</v>
      </c>
    </row>
    <row r="10" spans="1:3" x14ac:dyDescent="0.35">
      <c r="A10">
        <v>2006</v>
      </c>
      <c r="B10">
        <v>199.2</v>
      </c>
      <c r="C10">
        <v>21.7</v>
      </c>
    </row>
    <row r="11" spans="1:3" x14ac:dyDescent="0.35">
      <c r="A11">
        <v>2007</v>
      </c>
      <c r="B11">
        <v>197.7</v>
      </c>
      <c r="C11">
        <v>25.6</v>
      </c>
    </row>
    <row r="12" spans="1:3" x14ac:dyDescent="0.35">
      <c r="A12">
        <v>2008</v>
      </c>
      <c r="B12">
        <v>211.8</v>
      </c>
      <c r="C12">
        <v>19.3</v>
      </c>
    </row>
    <row r="13" spans="1:3" x14ac:dyDescent="0.35">
      <c r="A13">
        <v>2009</v>
      </c>
      <c r="B13">
        <v>213.8</v>
      </c>
      <c r="C13">
        <v>22</v>
      </c>
    </row>
    <row r="14" spans="1:3" x14ac:dyDescent="0.35">
      <c r="A14">
        <v>2010</v>
      </c>
      <c r="B14">
        <v>205.3</v>
      </c>
      <c r="C14">
        <v>20.399999999999999</v>
      </c>
    </row>
    <row r="15" spans="1:3" x14ac:dyDescent="0.35">
      <c r="A15">
        <v>2011</v>
      </c>
      <c r="B15">
        <v>209.9</v>
      </c>
      <c r="C15">
        <v>17</v>
      </c>
    </row>
    <row r="16" spans="1:3" x14ac:dyDescent="0.35">
      <c r="A16">
        <v>2012</v>
      </c>
      <c r="B16">
        <v>223.5</v>
      </c>
      <c r="C16">
        <v>14.9</v>
      </c>
    </row>
    <row r="17" spans="1:3" x14ac:dyDescent="0.35">
      <c r="A17">
        <v>2013</v>
      </c>
      <c r="B17">
        <v>243</v>
      </c>
      <c r="C17">
        <v>13.9</v>
      </c>
    </row>
    <row r="18" spans="1:3" x14ac:dyDescent="0.35">
      <c r="A18">
        <v>2014</v>
      </c>
      <c r="B18">
        <v>250.7</v>
      </c>
      <c r="C18">
        <v>20.5</v>
      </c>
    </row>
    <row r="19" spans="1:3" x14ac:dyDescent="0.35">
      <c r="A19">
        <v>2015</v>
      </c>
      <c r="B19">
        <v>253.2</v>
      </c>
      <c r="C19">
        <v>18.399999999999999</v>
      </c>
    </row>
    <row r="20" spans="1:3" x14ac:dyDescent="0.35">
      <c r="A20">
        <v>2016</v>
      </c>
      <c r="B20">
        <v>254.9</v>
      </c>
      <c r="C20">
        <v>24.9</v>
      </c>
    </row>
    <row r="21" spans="1:3" x14ac:dyDescent="0.35">
      <c r="A21">
        <v>2017</v>
      </c>
      <c r="B21">
        <v>228.3</v>
      </c>
      <c r="C21">
        <v>23.1</v>
      </c>
    </row>
    <row r="22" spans="1:3" x14ac:dyDescent="0.35">
      <c r="A22">
        <v>2018</v>
      </c>
      <c r="B22">
        <v>214.9</v>
      </c>
      <c r="C22">
        <v>23.6</v>
      </c>
    </row>
    <row r="23" spans="1:3" x14ac:dyDescent="0.35">
      <c r="A23">
        <v>2019</v>
      </c>
      <c r="B23">
        <v>212</v>
      </c>
      <c r="C23">
        <v>16</v>
      </c>
    </row>
    <row r="24" spans="1:3" x14ac:dyDescent="0.35">
      <c r="A24">
        <v>2020</v>
      </c>
      <c r="B24">
        <v>206.9</v>
      </c>
      <c r="C24">
        <v>17.600000000000001</v>
      </c>
    </row>
    <row r="25" spans="1:3" x14ac:dyDescent="0.35">
      <c r="A25">
        <v>2021</v>
      </c>
      <c r="B25">
        <v>210.1</v>
      </c>
      <c r="C25">
        <v>26.4</v>
      </c>
    </row>
    <row r="26" spans="1:3" x14ac:dyDescent="0.35">
      <c r="A26">
        <v>2022</v>
      </c>
      <c r="B26">
        <v>202</v>
      </c>
      <c r="C26">
        <v>19.100000000000001</v>
      </c>
    </row>
  </sheetData>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9"/>
  <sheetViews>
    <sheetView zoomScaleNormal="100" workbookViewId="0">
      <selection activeCell="B2" sqref="B2:C29"/>
    </sheetView>
  </sheetViews>
  <sheetFormatPr defaultColWidth="11.54296875" defaultRowHeight="14.5" x14ac:dyDescent="0.35"/>
  <cols>
    <col min="2" max="3" width="11.54296875" style="3"/>
  </cols>
  <sheetData>
    <row r="1" spans="1:3" x14ac:dyDescent="0.35">
      <c r="A1" t="s">
        <v>3</v>
      </c>
      <c r="B1" s="3" t="s">
        <v>6</v>
      </c>
      <c r="C1" s="3" t="s">
        <v>5</v>
      </c>
    </row>
    <row r="2" spans="1:3" x14ac:dyDescent="0.35">
      <c r="A2">
        <v>1996</v>
      </c>
      <c r="B2" s="3">
        <v>38.8259608948524</v>
      </c>
      <c r="C2" s="3">
        <v>2.7439810905553199</v>
      </c>
    </row>
    <row r="3" spans="1:3" x14ac:dyDescent="0.35">
      <c r="A3">
        <v>1997</v>
      </c>
      <c r="B3" s="3">
        <v>82.089181519396504</v>
      </c>
      <c r="C3" s="3">
        <v>11.298902595943501</v>
      </c>
    </row>
    <row r="4" spans="1:3" x14ac:dyDescent="0.35">
      <c r="A4">
        <v>1998</v>
      </c>
      <c r="B4" s="3">
        <v>127.35010373538699</v>
      </c>
      <c r="C4" s="3">
        <v>10.5684517227588</v>
      </c>
    </row>
    <row r="5" spans="1:3" x14ac:dyDescent="0.35">
      <c r="A5">
        <v>1999</v>
      </c>
      <c r="B5" s="3">
        <v>147.88777700044099</v>
      </c>
      <c r="C5" s="3">
        <v>15.769061796446801</v>
      </c>
    </row>
    <row r="6" spans="1:3" x14ac:dyDescent="0.35">
      <c r="A6">
        <v>2000</v>
      </c>
      <c r="B6" s="3">
        <v>148.38597807030899</v>
      </c>
      <c r="C6" s="3">
        <v>15.4892418427743</v>
      </c>
    </row>
    <row r="7" spans="1:3" x14ac:dyDescent="0.35">
      <c r="A7">
        <v>2001</v>
      </c>
      <c r="B7" s="3">
        <v>178.96979597028201</v>
      </c>
      <c r="C7" s="3">
        <v>14.3665714873108</v>
      </c>
    </row>
    <row r="8" spans="1:3" x14ac:dyDescent="0.35">
      <c r="A8">
        <v>2002</v>
      </c>
      <c r="B8" s="3">
        <v>196.01685678811401</v>
      </c>
      <c r="C8" s="3">
        <v>10.283227466741099</v>
      </c>
    </row>
    <row r="9" spans="1:3" x14ac:dyDescent="0.35">
      <c r="A9">
        <v>2003</v>
      </c>
      <c r="B9" s="3">
        <v>208.82418564147699</v>
      </c>
      <c r="C9" s="3">
        <v>18.5231493061744</v>
      </c>
    </row>
    <row r="10" spans="1:3" x14ac:dyDescent="0.35">
      <c r="A10">
        <v>2004</v>
      </c>
      <c r="B10" s="3">
        <v>215.172796387001</v>
      </c>
      <c r="C10" s="3">
        <v>16.360883967052999</v>
      </c>
    </row>
    <row r="11" spans="1:3" x14ac:dyDescent="0.35">
      <c r="A11">
        <v>2005</v>
      </c>
      <c r="B11" s="3">
        <v>220.739577368375</v>
      </c>
      <c r="C11" s="3">
        <v>26.6670456086283</v>
      </c>
    </row>
    <row r="12" spans="1:3" x14ac:dyDescent="0.35">
      <c r="A12">
        <v>2006</v>
      </c>
      <c r="B12" s="3">
        <v>199.117959941615</v>
      </c>
      <c r="C12" s="3">
        <v>21.910371555223399</v>
      </c>
    </row>
    <row r="13" spans="1:3" x14ac:dyDescent="0.35">
      <c r="A13">
        <v>2007</v>
      </c>
      <c r="B13" s="3">
        <v>198.28070032674299</v>
      </c>
      <c r="C13" s="3">
        <v>25.962054451612001</v>
      </c>
    </row>
    <row r="14" spans="1:3" x14ac:dyDescent="0.35">
      <c r="A14">
        <v>2008</v>
      </c>
      <c r="B14" s="3">
        <v>212.08318328902399</v>
      </c>
      <c r="C14" s="3">
        <v>19.7227414756901</v>
      </c>
    </row>
    <row r="15" spans="1:3" x14ac:dyDescent="0.35">
      <c r="A15">
        <v>2009</v>
      </c>
      <c r="B15" s="3">
        <v>213.87108533163399</v>
      </c>
      <c r="C15" s="3">
        <v>22.339489698041898</v>
      </c>
    </row>
    <row r="16" spans="1:3" x14ac:dyDescent="0.35">
      <c r="A16">
        <v>2010</v>
      </c>
      <c r="B16" s="3">
        <v>205.551464869314</v>
      </c>
      <c r="C16" s="3">
        <v>20.7236479814195</v>
      </c>
    </row>
    <row r="17" spans="1:3" x14ac:dyDescent="0.35">
      <c r="A17">
        <v>2011</v>
      </c>
      <c r="B17" s="3">
        <v>210.071773804624</v>
      </c>
      <c r="C17" s="3">
        <v>17.210582240541601</v>
      </c>
    </row>
    <row r="18" spans="1:3" x14ac:dyDescent="0.35">
      <c r="A18">
        <v>2012</v>
      </c>
      <c r="B18" s="3">
        <v>223.79019738445501</v>
      </c>
      <c r="C18" s="3">
        <v>15.116428623295601</v>
      </c>
    </row>
    <row r="19" spans="1:3" x14ac:dyDescent="0.35">
      <c r="A19">
        <v>2013</v>
      </c>
      <c r="B19" s="3">
        <v>243.241839072342</v>
      </c>
      <c r="C19" s="3">
        <v>14.0957161049036</v>
      </c>
    </row>
    <row r="20" spans="1:3" x14ac:dyDescent="0.35">
      <c r="A20">
        <v>2014</v>
      </c>
      <c r="B20" s="3">
        <v>251.68848438331</v>
      </c>
      <c r="C20" s="3">
        <v>20.925894798872999</v>
      </c>
    </row>
    <row r="21" spans="1:3" x14ac:dyDescent="0.35">
      <c r="A21">
        <v>2015</v>
      </c>
      <c r="B21" s="3">
        <v>254.12093644515201</v>
      </c>
      <c r="C21" s="3">
        <v>18.785780730236102</v>
      </c>
    </row>
    <row r="22" spans="1:3" x14ac:dyDescent="0.35">
      <c r="A22">
        <v>2016</v>
      </c>
      <c r="B22" s="3">
        <v>262.47232169524102</v>
      </c>
      <c r="C22" s="3">
        <v>25.788625772224702</v>
      </c>
    </row>
    <row r="23" spans="1:3" x14ac:dyDescent="0.35">
      <c r="A23">
        <v>2017</v>
      </c>
      <c r="B23" s="3">
        <v>235.47966483710701</v>
      </c>
      <c r="C23" s="3">
        <v>22.455608009899901</v>
      </c>
    </row>
    <row r="24" spans="1:3" x14ac:dyDescent="0.35">
      <c r="A24">
        <v>2018</v>
      </c>
      <c r="B24" s="3">
        <v>224.46214527399201</v>
      </c>
      <c r="C24" s="3">
        <v>24.886650202474701</v>
      </c>
    </row>
    <row r="25" spans="1:3" x14ac:dyDescent="0.35">
      <c r="A25">
        <v>2019</v>
      </c>
      <c r="B25" s="3">
        <v>223.51130570648601</v>
      </c>
      <c r="C25" s="3">
        <v>18.092104270066699</v>
      </c>
    </row>
    <row r="26" spans="1:3" x14ac:dyDescent="0.35">
      <c r="A26">
        <v>2020</v>
      </c>
      <c r="B26" s="3">
        <v>216.79273162138901</v>
      </c>
      <c r="C26" s="3">
        <v>18.501991576270299</v>
      </c>
    </row>
    <row r="27" spans="1:3" x14ac:dyDescent="0.35">
      <c r="A27">
        <v>2021</v>
      </c>
      <c r="B27" s="3">
        <v>219.36919398630599</v>
      </c>
      <c r="C27" s="3">
        <v>26.914013960043199</v>
      </c>
    </row>
    <row r="28" spans="1:3" x14ac:dyDescent="0.35">
      <c r="A28">
        <v>2022</v>
      </c>
      <c r="B28" s="3">
        <v>208.00715884413299</v>
      </c>
      <c r="C28" s="3">
        <v>19.037040379792199</v>
      </c>
    </row>
    <row r="29" spans="1:3" x14ac:dyDescent="0.35">
      <c r="A29">
        <v>2023</v>
      </c>
      <c r="B29" s="3">
        <v>213.065623234295</v>
      </c>
      <c r="C29" s="3">
        <v>15.545896142727299</v>
      </c>
    </row>
  </sheetData>
  <pageMargins left="0.78749999999999998" right="0.78749999999999998" top="1.05277777777778" bottom="1.05277777777778" header="0.78749999999999998" footer="0.78749999999999998"/>
  <pageSetup orientation="portrait" horizontalDpi="300" verticalDpi="300"/>
  <headerFooter>
    <oddHeader>&amp;C&amp;"Times New Roman,Regular"&amp;12&amp;Kffffff&amp;A</oddHeader>
    <oddFooter>&amp;C&amp;"Times New Roman,Regular"&amp;12&amp;KffffffPage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2ABB0-7B87-491A-B7B3-4DDC73B80C0B}">
  <dimension ref="A1:C30"/>
  <sheetViews>
    <sheetView workbookViewId="0">
      <selection activeCell="A2" sqref="A2:C30"/>
    </sheetView>
  </sheetViews>
  <sheetFormatPr defaultRowHeight="14.5" x14ac:dyDescent="0.35"/>
  <cols>
    <col min="1" max="1" width="10.81640625" customWidth="1"/>
    <col min="2" max="2" width="10.90625" customWidth="1"/>
    <col min="3" max="3" width="10.81640625" customWidth="1"/>
  </cols>
  <sheetData>
    <row r="1" spans="1:3" x14ac:dyDescent="0.35">
      <c r="A1" t="s">
        <v>3</v>
      </c>
      <c r="B1" t="s">
        <v>6</v>
      </c>
      <c r="C1" t="s">
        <v>5</v>
      </c>
    </row>
    <row r="2" spans="1:3" x14ac:dyDescent="0.35">
      <c r="A2">
        <v>1996</v>
      </c>
      <c r="B2">
        <v>39.369999999999997</v>
      </c>
      <c r="C2">
        <v>2.68</v>
      </c>
    </row>
    <row r="3" spans="1:3" x14ac:dyDescent="0.35">
      <c r="A3">
        <v>1997</v>
      </c>
      <c r="B3">
        <v>83.43</v>
      </c>
      <c r="C3">
        <v>11.81</v>
      </c>
    </row>
    <row r="4" spans="1:3" x14ac:dyDescent="0.35">
      <c r="A4">
        <v>1998</v>
      </c>
      <c r="B4">
        <v>127.34</v>
      </c>
      <c r="C4">
        <v>10.72</v>
      </c>
    </row>
    <row r="5" spans="1:3" x14ac:dyDescent="0.35">
      <c r="A5">
        <v>1999</v>
      </c>
      <c r="B5">
        <v>147.85</v>
      </c>
      <c r="C5">
        <v>16.059999999999999</v>
      </c>
    </row>
    <row r="6" spans="1:3" x14ac:dyDescent="0.35">
      <c r="A6">
        <v>2000</v>
      </c>
      <c r="B6">
        <v>148.38</v>
      </c>
      <c r="C6">
        <v>15.74</v>
      </c>
    </row>
    <row r="7" spans="1:3" x14ac:dyDescent="0.35">
      <c r="A7">
        <v>2001</v>
      </c>
      <c r="B7">
        <v>179.08</v>
      </c>
      <c r="C7">
        <v>14.59</v>
      </c>
    </row>
    <row r="8" spans="1:3" x14ac:dyDescent="0.35">
      <c r="A8">
        <v>2002</v>
      </c>
      <c r="B8">
        <v>196.01</v>
      </c>
      <c r="C8">
        <v>10.55</v>
      </c>
    </row>
    <row r="9" spans="1:3" x14ac:dyDescent="0.35">
      <c r="A9">
        <v>2003</v>
      </c>
      <c r="B9">
        <v>208.76</v>
      </c>
      <c r="C9">
        <v>18.53</v>
      </c>
    </row>
    <row r="10" spans="1:3" x14ac:dyDescent="0.35">
      <c r="A10">
        <v>2004</v>
      </c>
      <c r="B10">
        <v>215.26</v>
      </c>
      <c r="C10">
        <v>16.64</v>
      </c>
    </row>
    <row r="11" spans="1:3" x14ac:dyDescent="0.35">
      <c r="A11">
        <v>2005</v>
      </c>
      <c r="B11">
        <v>222.69</v>
      </c>
      <c r="C11">
        <v>27.52</v>
      </c>
    </row>
    <row r="12" spans="1:3" x14ac:dyDescent="0.35">
      <c r="A12">
        <v>2006</v>
      </c>
      <c r="B12">
        <v>200.6</v>
      </c>
      <c r="C12">
        <v>22.24</v>
      </c>
    </row>
    <row r="13" spans="1:3" x14ac:dyDescent="0.35">
      <c r="A13">
        <v>2007</v>
      </c>
      <c r="B13">
        <v>199.64</v>
      </c>
      <c r="C13">
        <v>26.68</v>
      </c>
    </row>
    <row r="14" spans="1:3" x14ac:dyDescent="0.35">
      <c r="A14">
        <v>2008</v>
      </c>
      <c r="B14">
        <v>213.94</v>
      </c>
      <c r="C14">
        <v>20.34</v>
      </c>
    </row>
    <row r="15" spans="1:3" x14ac:dyDescent="0.35">
      <c r="A15">
        <v>2009</v>
      </c>
      <c r="B15">
        <v>216.06</v>
      </c>
      <c r="C15">
        <v>23.17</v>
      </c>
    </row>
    <row r="16" spans="1:3" x14ac:dyDescent="0.35">
      <c r="A16">
        <v>2010</v>
      </c>
      <c r="B16">
        <v>207.54</v>
      </c>
      <c r="C16">
        <v>21.45</v>
      </c>
    </row>
    <row r="17" spans="1:3" x14ac:dyDescent="0.35">
      <c r="A17">
        <v>2011</v>
      </c>
      <c r="B17">
        <v>212.02</v>
      </c>
      <c r="C17">
        <v>17.84</v>
      </c>
    </row>
    <row r="18" spans="1:3" x14ac:dyDescent="0.35">
      <c r="A18">
        <v>2012</v>
      </c>
      <c r="B18">
        <v>225.89</v>
      </c>
      <c r="C18">
        <v>15.8</v>
      </c>
    </row>
    <row r="19" spans="1:3" x14ac:dyDescent="0.35">
      <c r="A19">
        <v>2013</v>
      </c>
      <c r="B19">
        <v>245.35</v>
      </c>
      <c r="C19">
        <v>14.75</v>
      </c>
    </row>
    <row r="20" spans="1:3" x14ac:dyDescent="0.35">
      <c r="A20">
        <v>2014</v>
      </c>
      <c r="B20">
        <v>253.99</v>
      </c>
      <c r="C20">
        <v>21.59</v>
      </c>
    </row>
    <row r="21" spans="1:3" x14ac:dyDescent="0.35">
      <c r="A21">
        <v>2015</v>
      </c>
      <c r="B21">
        <v>255.86</v>
      </c>
      <c r="C21">
        <v>19.41</v>
      </c>
    </row>
    <row r="22" spans="1:3" x14ac:dyDescent="0.35">
      <c r="A22">
        <v>2016</v>
      </c>
      <c r="B22">
        <v>266.58999999999997</v>
      </c>
      <c r="C22">
        <v>26.97</v>
      </c>
    </row>
    <row r="23" spans="1:3" x14ac:dyDescent="0.35">
      <c r="A23">
        <v>2017</v>
      </c>
      <c r="B23">
        <v>237.94</v>
      </c>
      <c r="C23">
        <v>23.4</v>
      </c>
    </row>
    <row r="24" spans="1:3" x14ac:dyDescent="0.35">
      <c r="A24">
        <v>2018</v>
      </c>
      <c r="B24">
        <v>227.02</v>
      </c>
      <c r="C24">
        <v>26.11</v>
      </c>
    </row>
    <row r="25" spans="1:3" x14ac:dyDescent="0.35">
      <c r="A25">
        <v>2019</v>
      </c>
      <c r="B25">
        <v>226.63</v>
      </c>
      <c r="C25">
        <v>18.84</v>
      </c>
    </row>
    <row r="26" spans="1:3" x14ac:dyDescent="0.35">
      <c r="A26">
        <v>2020</v>
      </c>
      <c r="B26">
        <v>220.79</v>
      </c>
      <c r="C26">
        <v>19.45</v>
      </c>
    </row>
    <row r="27" spans="1:3" x14ac:dyDescent="0.35">
      <c r="A27">
        <v>2021</v>
      </c>
      <c r="B27">
        <v>222.55</v>
      </c>
      <c r="C27">
        <v>28.11</v>
      </c>
    </row>
    <row r="28" spans="1:3" x14ac:dyDescent="0.35">
      <c r="A28">
        <v>2022</v>
      </c>
      <c r="B28">
        <v>213</v>
      </c>
      <c r="C28">
        <v>19.64</v>
      </c>
    </row>
    <row r="29" spans="1:3" x14ac:dyDescent="0.35">
      <c r="A29">
        <v>2023</v>
      </c>
      <c r="B29">
        <v>219.24</v>
      </c>
      <c r="C29">
        <v>15.36</v>
      </c>
    </row>
    <row r="30" spans="1:3" x14ac:dyDescent="0.35">
      <c r="A30">
        <v>2024</v>
      </c>
      <c r="B30">
        <v>217.76</v>
      </c>
      <c r="C30">
        <v>17.7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30"/>
  <sheetViews>
    <sheetView zoomScaleNormal="100" workbookViewId="0">
      <selection activeCell="H29" sqref="H29"/>
    </sheetView>
  </sheetViews>
  <sheetFormatPr defaultColWidth="8.81640625" defaultRowHeight="14.5" x14ac:dyDescent="0.35"/>
  <cols>
    <col min="2" max="15" width="6.54296875" customWidth="1"/>
    <col min="16" max="17" width="6.6328125" customWidth="1"/>
  </cols>
  <sheetData>
    <row r="1" spans="1:19" x14ac:dyDescent="0.35">
      <c r="B1" t="s">
        <v>7</v>
      </c>
    </row>
    <row r="2" spans="1:19" ht="30.75" customHeight="1" x14ac:dyDescent="0.35">
      <c r="B2" s="1" t="s">
        <v>8</v>
      </c>
      <c r="C2" s="1"/>
      <c r="D2" s="1" t="s">
        <v>9</v>
      </c>
      <c r="E2" s="1"/>
      <c r="F2" s="1" t="s">
        <v>10</v>
      </c>
      <c r="G2" s="1"/>
      <c r="H2" s="1" t="s">
        <v>11</v>
      </c>
      <c r="I2" s="1"/>
      <c r="J2" s="1" t="s">
        <v>12</v>
      </c>
      <c r="K2" s="1"/>
      <c r="L2" s="1" t="s">
        <v>13</v>
      </c>
      <c r="M2" s="1"/>
      <c r="N2" s="1" t="s">
        <v>14</v>
      </c>
      <c r="O2" s="1"/>
      <c r="P2" s="1" t="s">
        <v>17</v>
      </c>
      <c r="Q2" s="1"/>
      <c r="R2" s="1" t="s">
        <v>18</v>
      </c>
      <c r="S2" s="1"/>
    </row>
    <row r="3" spans="1:19" x14ac:dyDescent="0.35">
      <c r="A3" t="s">
        <v>3</v>
      </c>
      <c r="B3" t="s">
        <v>4</v>
      </c>
      <c r="C3" t="s">
        <v>5</v>
      </c>
      <c r="D3" t="s">
        <v>4</v>
      </c>
      <c r="E3" t="s">
        <v>5</v>
      </c>
      <c r="F3" t="s">
        <v>4</v>
      </c>
      <c r="G3" t="s">
        <v>5</v>
      </c>
      <c r="H3" t="s">
        <v>6</v>
      </c>
      <c r="I3" t="s">
        <v>5</v>
      </c>
      <c r="J3" t="s">
        <v>6</v>
      </c>
      <c r="K3" t="s">
        <v>5</v>
      </c>
      <c r="L3" t="s">
        <v>6</v>
      </c>
      <c r="M3" t="s">
        <v>5</v>
      </c>
      <c r="N3" t="s">
        <v>6</v>
      </c>
      <c r="O3" t="s">
        <v>5</v>
      </c>
      <c r="P3" t="s">
        <v>6</v>
      </c>
      <c r="Q3" t="s">
        <v>5</v>
      </c>
      <c r="R3" t="s">
        <v>6</v>
      </c>
      <c r="S3" t="s">
        <v>5</v>
      </c>
    </row>
    <row r="4" spans="1:19" x14ac:dyDescent="0.35">
      <c r="A4">
        <v>1998</v>
      </c>
      <c r="B4">
        <v>138</v>
      </c>
      <c r="C4">
        <v>2.2000000000000002</v>
      </c>
      <c r="D4">
        <v>103</v>
      </c>
      <c r="E4">
        <v>6.4</v>
      </c>
      <c r="F4">
        <v>126</v>
      </c>
      <c r="G4">
        <v>10.8</v>
      </c>
      <c r="H4">
        <v>126</v>
      </c>
      <c r="I4">
        <v>11</v>
      </c>
      <c r="J4">
        <v>125</v>
      </c>
      <c r="K4">
        <v>10.9</v>
      </c>
      <c r="L4">
        <v>133</v>
      </c>
      <c r="M4">
        <v>13.5</v>
      </c>
      <c r="N4">
        <v>127.3</v>
      </c>
      <c r="O4">
        <v>10.5</v>
      </c>
      <c r="P4" s="3">
        <v>127.35010373538699</v>
      </c>
      <c r="Q4" s="3">
        <v>10.5684517227588</v>
      </c>
      <c r="R4">
        <v>127.34</v>
      </c>
      <c r="S4">
        <v>10.72</v>
      </c>
    </row>
    <row r="5" spans="1:19" x14ac:dyDescent="0.35">
      <c r="A5">
        <v>1999</v>
      </c>
      <c r="B5">
        <v>191</v>
      </c>
      <c r="C5">
        <v>6.6</v>
      </c>
      <c r="D5">
        <v>135</v>
      </c>
      <c r="E5">
        <v>12</v>
      </c>
      <c r="F5">
        <v>147</v>
      </c>
      <c r="G5">
        <v>15</v>
      </c>
      <c r="H5">
        <v>145</v>
      </c>
      <c r="I5">
        <v>14.6</v>
      </c>
      <c r="J5">
        <v>146</v>
      </c>
      <c r="K5">
        <v>14.2</v>
      </c>
      <c r="L5">
        <v>145</v>
      </c>
      <c r="M5">
        <v>14.3</v>
      </c>
      <c r="N5">
        <v>147.1</v>
      </c>
      <c r="O5">
        <v>15.5</v>
      </c>
      <c r="P5" s="3">
        <v>147.88777700044099</v>
      </c>
      <c r="Q5" s="3">
        <v>15.769061796446801</v>
      </c>
      <c r="R5">
        <v>147.85</v>
      </c>
      <c r="S5">
        <v>16.059999999999999</v>
      </c>
    </row>
    <row r="6" spans="1:19" x14ac:dyDescent="0.35">
      <c r="A6">
        <v>2000</v>
      </c>
      <c r="B6">
        <v>174</v>
      </c>
      <c r="C6">
        <v>7.2</v>
      </c>
      <c r="D6">
        <v>141</v>
      </c>
      <c r="E6">
        <v>13.2</v>
      </c>
      <c r="F6">
        <v>149</v>
      </c>
      <c r="G6">
        <v>15.1</v>
      </c>
      <c r="H6">
        <v>146</v>
      </c>
      <c r="I6">
        <v>14.4</v>
      </c>
      <c r="J6">
        <v>147</v>
      </c>
      <c r="K6">
        <v>14.2</v>
      </c>
      <c r="L6">
        <v>147</v>
      </c>
      <c r="M6">
        <v>13.7</v>
      </c>
      <c r="N6">
        <v>148</v>
      </c>
      <c r="O6">
        <v>15.3</v>
      </c>
      <c r="P6" s="3">
        <v>148.38597807030899</v>
      </c>
      <c r="Q6" s="3">
        <v>15.4892418427743</v>
      </c>
      <c r="R6">
        <v>148.38</v>
      </c>
      <c r="S6">
        <v>15.74</v>
      </c>
    </row>
    <row r="7" spans="1:19" x14ac:dyDescent="0.35">
      <c r="A7">
        <v>2001</v>
      </c>
      <c r="B7">
        <v>216</v>
      </c>
      <c r="C7">
        <v>9.5</v>
      </c>
      <c r="D7">
        <v>175</v>
      </c>
      <c r="E7">
        <v>12.6</v>
      </c>
      <c r="F7">
        <v>181</v>
      </c>
      <c r="G7">
        <v>14</v>
      </c>
      <c r="H7">
        <v>178</v>
      </c>
      <c r="I7">
        <v>13.5</v>
      </c>
      <c r="J7">
        <v>179</v>
      </c>
      <c r="K7">
        <v>13.4</v>
      </c>
      <c r="L7">
        <v>182</v>
      </c>
      <c r="M7">
        <v>13.4</v>
      </c>
      <c r="N7">
        <v>178.9</v>
      </c>
      <c r="O7">
        <v>14.2</v>
      </c>
      <c r="P7" s="3">
        <v>178.96979597028201</v>
      </c>
      <c r="Q7" s="3">
        <v>14.3665714873108</v>
      </c>
      <c r="R7">
        <v>179.08</v>
      </c>
      <c r="S7">
        <v>14.59</v>
      </c>
    </row>
    <row r="8" spans="1:19" x14ac:dyDescent="0.35">
      <c r="A8">
        <v>2002</v>
      </c>
      <c r="B8">
        <v>209</v>
      </c>
      <c r="C8">
        <v>8.6999999999999993</v>
      </c>
      <c r="D8">
        <v>193</v>
      </c>
      <c r="E8">
        <v>9.3000000000000007</v>
      </c>
      <c r="F8">
        <v>198</v>
      </c>
      <c r="G8">
        <v>13.2</v>
      </c>
      <c r="H8">
        <v>197</v>
      </c>
      <c r="I8">
        <v>14.1</v>
      </c>
      <c r="J8">
        <v>197</v>
      </c>
      <c r="K8">
        <v>13.9</v>
      </c>
      <c r="L8">
        <v>210</v>
      </c>
      <c r="M8">
        <v>23.5</v>
      </c>
      <c r="N8">
        <v>195.7</v>
      </c>
      <c r="O8">
        <v>10.3</v>
      </c>
      <c r="P8" s="3">
        <v>196.01685678811401</v>
      </c>
      <c r="Q8" s="3">
        <v>10.283227466741099</v>
      </c>
      <c r="R8">
        <v>196.01</v>
      </c>
      <c r="S8">
        <v>10.55</v>
      </c>
    </row>
    <row r="9" spans="1:19" x14ac:dyDescent="0.35">
      <c r="A9">
        <v>2003</v>
      </c>
      <c r="B9">
        <v>192</v>
      </c>
      <c r="C9">
        <v>9.8000000000000007</v>
      </c>
      <c r="D9">
        <v>202</v>
      </c>
      <c r="E9">
        <v>16.5</v>
      </c>
      <c r="F9">
        <v>210</v>
      </c>
      <c r="G9">
        <v>18.100000000000001</v>
      </c>
      <c r="H9">
        <v>207</v>
      </c>
      <c r="I9">
        <v>17.5</v>
      </c>
      <c r="J9">
        <v>207</v>
      </c>
      <c r="K9">
        <v>17.3</v>
      </c>
      <c r="L9">
        <v>209</v>
      </c>
      <c r="M9">
        <v>16.5</v>
      </c>
      <c r="N9">
        <v>208.7</v>
      </c>
      <c r="O9">
        <v>18.2</v>
      </c>
      <c r="P9" s="3">
        <v>208.82418564147699</v>
      </c>
      <c r="Q9" s="3">
        <v>18.5231493061744</v>
      </c>
      <c r="R9">
        <v>208.76</v>
      </c>
      <c r="S9">
        <v>18.53</v>
      </c>
    </row>
    <row r="10" spans="1:19" x14ac:dyDescent="0.35">
      <c r="A10">
        <v>2004</v>
      </c>
      <c r="B10">
        <v>209</v>
      </c>
      <c r="C10">
        <v>10.8</v>
      </c>
      <c r="D10">
        <v>209</v>
      </c>
      <c r="E10">
        <v>14.9</v>
      </c>
      <c r="F10">
        <v>218</v>
      </c>
      <c r="G10">
        <v>17</v>
      </c>
      <c r="H10">
        <v>216</v>
      </c>
      <c r="I10">
        <v>16.600000000000001</v>
      </c>
      <c r="J10">
        <v>216</v>
      </c>
      <c r="K10">
        <v>16.600000000000001</v>
      </c>
      <c r="L10">
        <v>224</v>
      </c>
      <c r="M10">
        <v>19.399999999999999</v>
      </c>
      <c r="N10">
        <v>214.9</v>
      </c>
      <c r="O10">
        <v>16.2</v>
      </c>
      <c r="P10" s="3">
        <v>215.172796387001</v>
      </c>
      <c r="Q10" s="3">
        <v>16.360883967052999</v>
      </c>
      <c r="R10">
        <v>215.26</v>
      </c>
      <c r="S10">
        <v>16.64</v>
      </c>
    </row>
    <row r="11" spans="1:19" x14ac:dyDescent="0.35">
      <c r="A11">
        <v>2005</v>
      </c>
      <c r="B11">
        <v>200</v>
      </c>
      <c r="C11">
        <v>12</v>
      </c>
      <c r="D11">
        <v>208</v>
      </c>
      <c r="E11">
        <v>22.6</v>
      </c>
      <c r="F11">
        <v>219</v>
      </c>
      <c r="G11">
        <v>26.3</v>
      </c>
      <c r="H11">
        <v>215</v>
      </c>
      <c r="I11">
        <v>26.7</v>
      </c>
      <c r="J11">
        <v>216</v>
      </c>
      <c r="K11">
        <v>26.1</v>
      </c>
      <c r="L11">
        <v>208</v>
      </c>
      <c r="M11">
        <v>29.3</v>
      </c>
      <c r="N11">
        <v>220</v>
      </c>
      <c r="O11">
        <v>26.2</v>
      </c>
      <c r="P11" s="3">
        <v>220.739577368375</v>
      </c>
      <c r="Q11" s="3">
        <v>26.6670456086283</v>
      </c>
      <c r="R11">
        <v>222.69</v>
      </c>
      <c r="S11">
        <v>27.52</v>
      </c>
    </row>
    <row r="12" spans="1:19" x14ac:dyDescent="0.35">
      <c r="A12">
        <v>2006</v>
      </c>
      <c r="B12">
        <v>178</v>
      </c>
      <c r="C12">
        <v>11.8</v>
      </c>
      <c r="D12">
        <v>190</v>
      </c>
      <c r="E12">
        <v>18.8</v>
      </c>
      <c r="F12">
        <v>200</v>
      </c>
      <c r="G12">
        <v>21.4</v>
      </c>
      <c r="H12">
        <v>197</v>
      </c>
      <c r="I12">
        <v>21.4</v>
      </c>
      <c r="J12">
        <v>199</v>
      </c>
      <c r="K12">
        <v>21.5</v>
      </c>
      <c r="L12">
        <v>195</v>
      </c>
      <c r="M12">
        <v>20.399999999999999</v>
      </c>
      <c r="N12">
        <v>199.2</v>
      </c>
      <c r="O12">
        <v>21.7</v>
      </c>
      <c r="P12" s="3">
        <v>199.117959941615</v>
      </c>
      <c r="Q12" s="3">
        <v>21.910371555223399</v>
      </c>
      <c r="R12">
        <v>200.6</v>
      </c>
      <c r="S12">
        <v>22.24</v>
      </c>
    </row>
    <row r="13" spans="1:19" x14ac:dyDescent="0.35">
      <c r="A13">
        <v>2007</v>
      </c>
      <c r="B13">
        <v>202</v>
      </c>
      <c r="C13">
        <v>14.6</v>
      </c>
      <c r="D13">
        <v>184</v>
      </c>
      <c r="E13">
        <v>23.1</v>
      </c>
      <c r="F13">
        <v>194</v>
      </c>
      <c r="G13">
        <v>25.8</v>
      </c>
      <c r="H13">
        <v>192</v>
      </c>
      <c r="I13">
        <v>26</v>
      </c>
      <c r="J13">
        <v>195</v>
      </c>
      <c r="K13">
        <v>26</v>
      </c>
      <c r="L13">
        <v>185</v>
      </c>
      <c r="M13">
        <v>28.5</v>
      </c>
      <c r="N13">
        <v>197.7</v>
      </c>
      <c r="O13">
        <v>25.6</v>
      </c>
      <c r="P13" s="3">
        <v>198.28070032674299</v>
      </c>
      <c r="Q13" s="3">
        <v>25.962054451612001</v>
      </c>
      <c r="R13">
        <v>199.64</v>
      </c>
      <c r="S13">
        <v>26.68</v>
      </c>
    </row>
    <row r="14" spans="1:19" x14ac:dyDescent="0.35">
      <c r="A14">
        <v>2008</v>
      </c>
      <c r="B14">
        <v>225</v>
      </c>
      <c r="C14">
        <v>16.399999999999999</v>
      </c>
      <c r="D14">
        <v>192</v>
      </c>
      <c r="E14">
        <v>16.100000000000001</v>
      </c>
      <c r="F14">
        <v>207</v>
      </c>
      <c r="G14">
        <v>18.399999999999999</v>
      </c>
      <c r="H14">
        <v>210</v>
      </c>
      <c r="I14">
        <v>18.600000000000001</v>
      </c>
      <c r="J14">
        <v>214</v>
      </c>
      <c r="K14">
        <v>19</v>
      </c>
      <c r="L14">
        <v>217</v>
      </c>
      <c r="M14">
        <v>19.399999999999999</v>
      </c>
      <c r="N14">
        <v>211.8</v>
      </c>
      <c r="O14">
        <v>19.3</v>
      </c>
      <c r="P14" s="3">
        <v>212.08318328902399</v>
      </c>
      <c r="Q14" s="3">
        <v>19.7227414756901</v>
      </c>
      <c r="R14">
        <v>213.94</v>
      </c>
      <c r="S14">
        <v>20.34</v>
      </c>
    </row>
    <row r="15" spans="1:19" x14ac:dyDescent="0.35">
      <c r="A15">
        <v>2009</v>
      </c>
      <c r="D15">
        <v>185</v>
      </c>
      <c r="E15">
        <v>23.2</v>
      </c>
      <c r="F15">
        <v>206</v>
      </c>
      <c r="G15">
        <v>20.3</v>
      </c>
      <c r="H15">
        <v>208</v>
      </c>
      <c r="I15">
        <v>21.2</v>
      </c>
      <c r="J15">
        <v>211</v>
      </c>
      <c r="K15">
        <v>21.4</v>
      </c>
      <c r="L15">
        <v>208</v>
      </c>
      <c r="M15">
        <v>21.3</v>
      </c>
      <c r="N15">
        <v>213.8</v>
      </c>
      <c r="O15">
        <v>22</v>
      </c>
      <c r="P15" s="3">
        <v>213.87108533163399</v>
      </c>
      <c r="Q15" s="3">
        <v>22.339489698041898</v>
      </c>
      <c r="R15">
        <v>216.06</v>
      </c>
      <c r="S15">
        <v>23.17</v>
      </c>
    </row>
    <row r="16" spans="1:19" x14ac:dyDescent="0.35">
      <c r="A16">
        <v>2010</v>
      </c>
      <c r="D16">
        <v>188</v>
      </c>
      <c r="E16">
        <v>18.7</v>
      </c>
      <c r="F16">
        <v>194</v>
      </c>
      <c r="G16">
        <v>18.399999999999999</v>
      </c>
      <c r="H16">
        <v>200</v>
      </c>
      <c r="I16">
        <v>19.100000000000001</v>
      </c>
      <c r="J16">
        <v>203</v>
      </c>
      <c r="K16">
        <v>19.600000000000001</v>
      </c>
      <c r="L16">
        <v>201</v>
      </c>
      <c r="M16">
        <v>18.8</v>
      </c>
      <c r="N16">
        <v>205.3</v>
      </c>
      <c r="O16">
        <v>20.399999999999999</v>
      </c>
      <c r="P16" s="3">
        <v>205.551464869314</v>
      </c>
      <c r="Q16" s="3">
        <v>20.7236479814195</v>
      </c>
      <c r="R16">
        <v>207.54</v>
      </c>
      <c r="S16">
        <v>21.45</v>
      </c>
    </row>
    <row r="17" spans="1:19" x14ac:dyDescent="0.35">
      <c r="A17">
        <v>2011</v>
      </c>
      <c r="F17">
        <v>197</v>
      </c>
      <c r="G17">
        <v>15.8</v>
      </c>
      <c r="H17">
        <v>205</v>
      </c>
      <c r="I17">
        <v>15.9</v>
      </c>
      <c r="J17">
        <v>208</v>
      </c>
      <c r="K17">
        <v>16.2</v>
      </c>
      <c r="L17">
        <v>213</v>
      </c>
      <c r="M17">
        <v>16.8</v>
      </c>
      <c r="N17">
        <v>209.9</v>
      </c>
      <c r="O17">
        <v>17</v>
      </c>
      <c r="P17" s="3">
        <v>210.071773804624</v>
      </c>
      <c r="Q17" s="3">
        <v>17.210582240541601</v>
      </c>
      <c r="R17">
        <v>212.02</v>
      </c>
      <c r="S17">
        <v>17.84</v>
      </c>
    </row>
    <row r="18" spans="1:19" x14ac:dyDescent="0.35">
      <c r="A18">
        <v>2012</v>
      </c>
      <c r="F18">
        <v>209</v>
      </c>
      <c r="G18">
        <v>15.4</v>
      </c>
      <c r="H18">
        <v>217</v>
      </c>
      <c r="I18">
        <v>11.3</v>
      </c>
      <c r="J18">
        <v>220</v>
      </c>
      <c r="K18">
        <v>12.3</v>
      </c>
      <c r="L18">
        <v>229</v>
      </c>
      <c r="M18">
        <v>16.3</v>
      </c>
      <c r="N18">
        <v>223.5</v>
      </c>
      <c r="O18">
        <v>14.9</v>
      </c>
      <c r="P18" s="3">
        <v>223.79019738445501</v>
      </c>
      <c r="Q18" s="3">
        <v>15.116428623295601</v>
      </c>
      <c r="R18">
        <v>225.89</v>
      </c>
      <c r="S18">
        <v>15.8</v>
      </c>
    </row>
    <row r="19" spans="1:19" x14ac:dyDescent="0.35">
      <c r="A19">
        <v>2013</v>
      </c>
      <c r="H19">
        <v>235</v>
      </c>
      <c r="I19">
        <v>14</v>
      </c>
      <c r="J19">
        <v>240</v>
      </c>
      <c r="K19">
        <v>14.1</v>
      </c>
      <c r="L19">
        <v>249</v>
      </c>
      <c r="M19">
        <v>17.5</v>
      </c>
      <c r="N19">
        <v>243</v>
      </c>
      <c r="O19">
        <v>13.9</v>
      </c>
      <c r="P19" s="3">
        <v>243.241839072342</v>
      </c>
      <c r="Q19" s="3">
        <v>14.0957161049036</v>
      </c>
      <c r="R19">
        <v>245.35</v>
      </c>
      <c r="S19">
        <v>14.75</v>
      </c>
    </row>
    <row r="20" spans="1:19" x14ac:dyDescent="0.35">
      <c r="A20">
        <v>2014</v>
      </c>
      <c r="H20">
        <v>238</v>
      </c>
      <c r="I20">
        <v>19</v>
      </c>
      <c r="J20">
        <v>243</v>
      </c>
      <c r="K20">
        <v>18.7</v>
      </c>
      <c r="L20">
        <v>245</v>
      </c>
      <c r="M20">
        <v>18.7</v>
      </c>
      <c r="N20">
        <v>250.7</v>
      </c>
      <c r="O20">
        <v>20.5</v>
      </c>
      <c r="P20" s="3">
        <v>251.68848438331</v>
      </c>
      <c r="Q20" s="3">
        <v>20.925894798872999</v>
      </c>
      <c r="R20">
        <v>253.99</v>
      </c>
      <c r="S20">
        <v>21.59</v>
      </c>
    </row>
    <row r="21" spans="1:19" x14ac:dyDescent="0.35">
      <c r="A21">
        <v>2015</v>
      </c>
      <c r="H21">
        <v>243</v>
      </c>
      <c r="I21">
        <v>18.899999999999999</v>
      </c>
      <c r="J21">
        <v>250</v>
      </c>
      <c r="K21">
        <v>18.2</v>
      </c>
      <c r="L21">
        <v>257</v>
      </c>
      <c r="M21">
        <v>17.899999999999999</v>
      </c>
      <c r="N21">
        <v>253.2</v>
      </c>
      <c r="O21">
        <v>18.399999999999999</v>
      </c>
      <c r="P21" s="3">
        <v>254.12093644515201</v>
      </c>
      <c r="Q21" s="3">
        <v>18.785780730236102</v>
      </c>
      <c r="R21">
        <v>255.86</v>
      </c>
      <c r="S21">
        <v>19.41</v>
      </c>
    </row>
    <row r="22" spans="1:19" x14ac:dyDescent="0.35">
      <c r="A22">
        <v>2016</v>
      </c>
      <c r="J22">
        <v>246</v>
      </c>
      <c r="K22">
        <v>24.3</v>
      </c>
      <c r="L22">
        <v>244</v>
      </c>
      <c r="M22">
        <v>24.5</v>
      </c>
      <c r="N22">
        <v>254.9</v>
      </c>
      <c r="O22">
        <v>24.9</v>
      </c>
      <c r="P22" s="3">
        <v>262.47232169524102</v>
      </c>
      <c r="Q22" s="3">
        <v>25.788625772224702</v>
      </c>
      <c r="R22">
        <v>266.58999999999997</v>
      </c>
      <c r="S22">
        <v>26.97</v>
      </c>
    </row>
    <row r="23" spans="1:19" x14ac:dyDescent="0.35">
      <c r="A23">
        <v>2017</v>
      </c>
      <c r="J23">
        <v>232</v>
      </c>
      <c r="K23">
        <v>25.2</v>
      </c>
      <c r="L23">
        <v>224</v>
      </c>
      <c r="M23">
        <v>22.1</v>
      </c>
      <c r="N23">
        <v>228.3</v>
      </c>
      <c r="O23">
        <v>23.1</v>
      </c>
      <c r="P23" s="3">
        <v>235.47966483710701</v>
      </c>
      <c r="Q23" s="3">
        <v>22.455608009899901</v>
      </c>
      <c r="R23">
        <v>237.94</v>
      </c>
      <c r="S23">
        <v>23.4</v>
      </c>
    </row>
    <row r="24" spans="1:19" x14ac:dyDescent="0.35">
      <c r="A24">
        <v>2018</v>
      </c>
      <c r="L24">
        <v>211</v>
      </c>
      <c r="M24">
        <v>24.5</v>
      </c>
      <c r="N24">
        <v>214.9</v>
      </c>
      <c r="O24">
        <v>23.6</v>
      </c>
      <c r="P24" s="3">
        <v>224.46214527399201</v>
      </c>
      <c r="Q24" s="3">
        <v>24.886650202474701</v>
      </c>
      <c r="R24">
        <v>227.02</v>
      </c>
      <c r="S24">
        <v>26.11</v>
      </c>
    </row>
    <row r="25" spans="1:19" x14ac:dyDescent="0.35">
      <c r="A25">
        <v>2019</v>
      </c>
      <c r="L25">
        <v>228</v>
      </c>
      <c r="M25">
        <v>24</v>
      </c>
      <c r="N25">
        <v>212</v>
      </c>
      <c r="O25">
        <v>16</v>
      </c>
      <c r="P25" s="3">
        <v>223.51130570648601</v>
      </c>
      <c r="Q25" s="3">
        <v>18.092104270066699</v>
      </c>
      <c r="R25">
        <v>226.63</v>
      </c>
      <c r="S25">
        <v>18.84</v>
      </c>
    </row>
    <row r="26" spans="1:19" x14ac:dyDescent="0.35">
      <c r="A26">
        <v>2020</v>
      </c>
      <c r="L26">
        <v>212</v>
      </c>
      <c r="M26">
        <v>17.899999999999999</v>
      </c>
      <c r="N26">
        <v>206.9</v>
      </c>
      <c r="O26">
        <v>17.600000000000001</v>
      </c>
      <c r="P26" s="3">
        <v>216.79273162138901</v>
      </c>
      <c r="Q26" s="3">
        <v>18.501991576270299</v>
      </c>
      <c r="R26">
        <v>220.79</v>
      </c>
      <c r="S26">
        <v>19.45</v>
      </c>
    </row>
    <row r="27" spans="1:19" x14ac:dyDescent="0.35">
      <c r="A27">
        <v>2021</v>
      </c>
      <c r="N27">
        <v>210.1</v>
      </c>
      <c r="O27">
        <v>26.4</v>
      </c>
      <c r="P27" s="3">
        <v>219.36919398630599</v>
      </c>
      <c r="Q27" s="3">
        <v>26.914013960043199</v>
      </c>
      <c r="R27">
        <v>222.55</v>
      </c>
      <c r="S27">
        <v>28.11</v>
      </c>
    </row>
    <row r="28" spans="1:19" x14ac:dyDescent="0.35">
      <c r="A28">
        <v>2022</v>
      </c>
      <c r="N28">
        <v>202</v>
      </c>
      <c r="O28">
        <v>19.100000000000001</v>
      </c>
      <c r="P28" s="3">
        <v>208.00715884413299</v>
      </c>
      <c r="Q28" s="3">
        <v>19.037040379792199</v>
      </c>
      <c r="R28">
        <v>213</v>
      </c>
      <c r="S28">
        <v>19.64</v>
      </c>
    </row>
    <row r="29" spans="1:19" x14ac:dyDescent="0.35">
      <c r="A29">
        <v>2023</v>
      </c>
      <c r="P29" s="3">
        <v>213.065623234295</v>
      </c>
      <c r="Q29" s="3">
        <v>15.545896142727299</v>
      </c>
      <c r="R29">
        <v>219.24</v>
      </c>
      <c r="S29">
        <v>15.36</v>
      </c>
    </row>
    <row r="30" spans="1:19" x14ac:dyDescent="0.35">
      <c r="A30">
        <v>2024</v>
      </c>
      <c r="R30">
        <v>217.76</v>
      </c>
      <c r="S30">
        <v>17.7</v>
      </c>
    </row>
  </sheetData>
  <mergeCells count="9">
    <mergeCell ref="L2:M2"/>
    <mergeCell ref="N2:O2"/>
    <mergeCell ref="R2:S2"/>
    <mergeCell ref="P2:Q2"/>
    <mergeCell ref="B2:C2"/>
    <mergeCell ref="D2:E2"/>
    <mergeCell ref="F2:G2"/>
    <mergeCell ref="H2:I2"/>
    <mergeCell ref="J2:K2"/>
  </mergeCells>
  <pageMargins left="0.7" right="0.7" top="0.75" bottom="0.75" header="0.511811023622047" footer="0.511811023622047"/>
  <pageSetup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233"/>
  <sheetViews>
    <sheetView tabSelected="1" zoomScaleNormal="100" workbookViewId="0">
      <pane ySplit="1" topLeftCell="A186" activePane="bottomLeft" state="frozen"/>
      <selection pane="bottomLeft" activeCell="F215" sqref="F215"/>
    </sheetView>
  </sheetViews>
  <sheetFormatPr defaultColWidth="10.54296875" defaultRowHeight="14.5" x14ac:dyDescent="0.35"/>
  <cols>
    <col min="2" max="3" width="10.54296875" style="3"/>
    <col min="4" max="4" width="19.81640625" customWidth="1"/>
  </cols>
  <sheetData>
    <row r="1" spans="1:15" x14ac:dyDescent="0.35">
      <c r="A1" s="4" t="s">
        <v>15</v>
      </c>
      <c r="B1" s="5" t="s">
        <v>4</v>
      </c>
      <c r="C1" s="5" t="s">
        <v>5</v>
      </c>
      <c r="D1" s="4" t="s">
        <v>16</v>
      </c>
      <c r="E1" s="4"/>
      <c r="F1" s="4"/>
      <c r="G1" s="4"/>
      <c r="H1" s="4"/>
      <c r="I1" s="4"/>
      <c r="J1" s="4"/>
      <c r="K1" s="4"/>
      <c r="L1" s="4"/>
      <c r="M1" s="4"/>
      <c r="N1" s="4"/>
      <c r="O1" s="4"/>
    </row>
    <row r="2" spans="1:15" x14ac:dyDescent="0.35">
      <c r="A2" s="4">
        <v>1998</v>
      </c>
      <c r="B2" s="5">
        <v>138</v>
      </c>
      <c r="C2" s="5">
        <v>2.2000000000000002</v>
      </c>
      <c r="D2" s="4" t="s">
        <v>8</v>
      </c>
      <c r="E2" s="4"/>
      <c r="F2" s="4"/>
      <c r="G2" s="4"/>
    </row>
    <row r="3" spans="1:15" x14ac:dyDescent="0.35">
      <c r="A3" s="4">
        <v>1999</v>
      </c>
      <c r="B3" s="5">
        <v>191</v>
      </c>
      <c r="C3" s="5">
        <v>6.6</v>
      </c>
      <c r="D3" s="4" t="s">
        <v>8</v>
      </c>
      <c r="E3" s="4"/>
      <c r="F3" s="4"/>
      <c r="G3" s="4"/>
    </row>
    <row r="4" spans="1:15" x14ac:dyDescent="0.35">
      <c r="A4" s="4">
        <v>2000</v>
      </c>
      <c r="B4" s="5">
        <v>174</v>
      </c>
      <c r="C4" s="5">
        <v>7.2</v>
      </c>
      <c r="D4" s="4" t="s">
        <v>8</v>
      </c>
      <c r="E4" s="4"/>
      <c r="F4" s="4"/>
      <c r="G4" s="4"/>
    </row>
    <row r="5" spans="1:15" x14ac:dyDescent="0.35">
      <c r="A5" s="4">
        <v>2001</v>
      </c>
      <c r="B5" s="5">
        <v>216</v>
      </c>
      <c r="C5" s="5">
        <v>9.5</v>
      </c>
      <c r="D5" s="4" t="s">
        <v>8</v>
      </c>
      <c r="E5" s="4"/>
      <c r="F5" s="4"/>
      <c r="G5" s="4"/>
    </row>
    <row r="6" spans="1:15" x14ac:dyDescent="0.35">
      <c r="A6" s="4">
        <v>2002</v>
      </c>
      <c r="B6" s="5">
        <v>209</v>
      </c>
      <c r="C6" s="5">
        <v>8.6999999999999993</v>
      </c>
      <c r="D6" s="4" t="s">
        <v>8</v>
      </c>
      <c r="E6" s="4"/>
      <c r="F6" s="4"/>
      <c r="G6" s="4"/>
    </row>
    <row r="7" spans="1:15" x14ac:dyDescent="0.35">
      <c r="A7" s="4">
        <v>2003</v>
      </c>
      <c r="B7" s="5">
        <v>192</v>
      </c>
      <c r="C7" s="5">
        <v>9.8000000000000007</v>
      </c>
      <c r="D7" s="4" t="s">
        <v>8</v>
      </c>
      <c r="E7" s="4"/>
      <c r="F7" s="4"/>
      <c r="G7" s="4"/>
    </row>
    <row r="8" spans="1:15" x14ac:dyDescent="0.35">
      <c r="A8" s="4">
        <v>2004</v>
      </c>
      <c r="B8" s="5">
        <v>209</v>
      </c>
      <c r="C8" s="5">
        <v>10.8</v>
      </c>
      <c r="D8" s="4" t="s">
        <v>8</v>
      </c>
      <c r="E8" s="4"/>
      <c r="F8" s="4"/>
      <c r="G8" s="4"/>
    </row>
    <row r="9" spans="1:15" x14ac:dyDescent="0.35">
      <c r="A9" s="4">
        <v>2005</v>
      </c>
      <c r="B9" s="5">
        <v>200</v>
      </c>
      <c r="C9" s="5">
        <v>12</v>
      </c>
      <c r="D9" s="4" t="s">
        <v>8</v>
      </c>
      <c r="E9" s="4"/>
      <c r="F9" s="4"/>
      <c r="G9" s="4"/>
    </row>
    <row r="10" spans="1:15" x14ac:dyDescent="0.35">
      <c r="A10" s="4">
        <v>2006</v>
      </c>
      <c r="B10" s="5">
        <v>178</v>
      </c>
      <c r="C10" s="5">
        <v>11.8</v>
      </c>
      <c r="D10" s="4" t="s">
        <v>8</v>
      </c>
      <c r="E10" s="4"/>
      <c r="F10" s="4"/>
      <c r="G10" s="4"/>
    </row>
    <row r="11" spans="1:15" x14ac:dyDescent="0.35">
      <c r="A11" s="4">
        <v>2007</v>
      </c>
      <c r="B11" s="5">
        <v>202</v>
      </c>
      <c r="C11" s="5">
        <v>14.6</v>
      </c>
      <c r="D11" s="4" t="s">
        <v>8</v>
      </c>
      <c r="E11" s="4"/>
      <c r="F11" s="4"/>
      <c r="G11" s="4"/>
    </row>
    <row r="12" spans="1:15" x14ac:dyDescent="0.35">
      <c r="A12" s="4">
        <v>2008</v>
      </c>
      <c r="B12" s="5">
        <v>225</v>
      </c>
      <c r="C12" s="5">
        <v>16.399999999999999</v>
      </c>
      <c r="D12" s="4" t="s">
        <v>8</v>
      </c>
      <c r="E12" s="4"/>
      <c r="F12" s="4"/>
      <c r="G12" s="4"/>
    </row>
    <row r="13" spans="1:15" x14ac:dyDescent="0.35">
      <c r="A13" s="4">
        <v>2009</v>
      </c>
      <c r="B13" s="5"/>
      <c r="C13" s="5"/>
      <c r="D13" s="4" t="s">
        <v>8</v>
      </c>
      <c r="E13" s="4"/>
      <c r="F13" s="4"/>
      <c r="G13" s="4"/>
    </row>
    <row r="14" spans="1:15" x14ac:dyDescent="0.35">
      <c r="A14" s="4">
        <v>2010</v>
      </c>
      <c r="B14" s="5"/>
      <c r="C14" s="5"/>
      <c r="D14" s="4" t="s">
        <v>8</v>
      </c>
      <c r="E14" s="4"/>
      <c r="F14" s="4"/>
      <c r="G14" s="4"/>
    </row>
    <row r="15" spans="1:15" x14ac:dyDescent="0.35">
      <c r="A15" s="4">
        <v>2011</v>
      </c>
      <c r="B15" s="5"/>
      <c r="C15" s="5"/>
      <c r="D15" s="4" t="s">
        <v>8</v>
      </c>
      <c r="E15" s="4"/>
      <c r="F15" s="4"/>
      <c r="G15" s="4"/>
    </row>
    <row r="16" spans="1:15" x14ac:dyDescent="0.35">
      <c r="A16" s="4">
        <v>2012</v>
      </c>
      <c r="B16" s="5"/>
      <c r="C16" s="5"/>
      <c r="D16" s="4" t="s">
        <v>8</v>
      </c>
      <c r="E16" s="4"/>
      <c r="F16" s="4"/>
      <c r="G16" s="4"/>
    </row>
    <row r="17" spans="1:13" x14ac:dyDescent="0.35">
      <c r="A17" s="4">
        <v>2013</v>
      </c>
      <c r="B17" s="5"/>
      <c r="C17" s="5"/>
      <c r="D17" s="4" t="s">
        <v>8</v>
      </c>
      <c r="E17" s="4"/>
      <c r="F17" s="4"/>
      <c r="G17" s="4"/>
    </row>
    <row r="18" spans="1:13" x14ac:dyDescent="0.35">
      <c r="A18" s="4">
        <v>2014</v>
      </c>
      <c r="B18" s="5"/>
      <c r="C18" s="5"/>
      <c r="D18" s="4" t="s">
        <v>8</v>
      </c>
      <c r="E18" s="4"/>
      <c r="F18" s="4"/>
      <c r="G18" s="4"/>
    </row>
    <row r="19" spans="1:13" x14ac:dyDescent="0.35">
      <c r="A19" s="4">
        <v>2015</v>
      </c>
      <c r="B19" s="5"/>
      <c r="C19" s="5"/>
      <c r="D19" s="4" t="s">
        <v>8</v>
      </c>
      <c r="E19" s="4"/>
      <c r="F19" s="4"/>
      <c r="G19" s="4"/>
    </row>
    <row r="20" spans="1:13" x14ac:dyDescent="0.35">
      <c r="A20" s="4">
        <v>2016</v>
      </c>
      <c r="B20" s="5"/>
      <c r="C20" s="5"/>
      <c r="D20" s="4" t="s">
        <v>8</v>
      </c>
      <c r="E20" s="4"/>
      <c r="F20" s="4"/>
      <c r="G20" s="4"/>
      <c r="H20" s="4"/>
      <c r="I20" s="4"/>
    </row>
    <row r="21" spans="1:13" x14ac:dyDescent="0.35">
      <c r="A21" s="4">
        <v>2017</v>
      </c>
      <c r="B21" s="5"/>
      <c r="C21" s="5"/>
      <c r="D21" s="4" t="s">
        <v>8</v>
      </c>
      <c r="E21" s="4"/>
      <c r="F21" s="4"/>
      <c r="G21" s="4"/>
      <c r="H21" s="4"/>
      <c r="I21" s="4"/>
    </row>
    <row r="22" spans="1:13" x14ac:dyDescent="0.35">
      <c r="A22" s="4">
        <v>2018</v>
      </c>
      <c r="B22" s="5"/>
      <c r="C22" s="5"/>
      <c r="D22" s="4" t="s">
        <v>8</v>
      </c>
      <c r="E22" s="4"/>
      <c r="F22" s="4"/>
      <c r="G22" s="4"/>
      <c r="H22" s="4"/>
      <c r="I22" s="4"/>
      <c r="J22" s="4"/>
      <c r="K22" s="4"/>
    </row>
    <row r="23" spans="1:13" x14ac:dyDescent="0.35">
      <c r="A23" s="4">
        <v>2019</v>
      </c>
      <c r="B23" s="5"/>
      <c r="C23" s="5"/>
      <c r="D23" s="4" t="s">
        <v>8</v>
      </c>
      <c r="E23" s="4"/>
      <c r="F23" s="4"/>
      <c r="G23" s="4"/>
      <c r="H23" s="4"/>
      <c r="I23" s="4"/>
      <c r="J23" s="4"/>
      <c r="K23" s="4"/>
    </row>
    <row r="24" spans="1:13" x14ac:dyDescent="0.35">
      <c r="A24" s="4">
        <v>2020</v>
      </c>
      <c r="B24" s="5"/>
      <c r="C24" s="5"/>
      <c r="D24" s="4" t="s">
        <v>8</v>
      </c>
      <c r="E24" s="4"/>
      <c r="F24" s="4"/>
      <c r="G24" s="4"/>
      <c r="H24" s="4"/>
      <c r="I24" s="4"/>
      <c r="J24" s="4"/>
      <c r="K24" s="4"/>
    </row>
    <row r="25" spans="1:13" x14ac:dyDescent="0.35">
      <c r="A25" s="4">
        <v>2021</v>
      </c>
      <c r="B25" s="5"/>
      <c r="C25" s="5"/>
      <c r="D25" s="4" t="s">
        <v>8</v>
      </c>
      <c r="E25" s="4"/>
      <c r="F25" s="4"/>
      <c r="G25" s="4"/>
      <c r="H25" s="4"/>
      <c r="I25" s="4"/>
      <c r="J25" s="4"/>
      <c r="K25" s="4"/>
      <c r="L25" s="4"/>
      <c r="M25" s="4"/>
    </row>
    <row r="26" spans="1:13" s="8" customFormat="1" x14ac:dyDescent="0.35">
      <c r="A26" s="6">
        <v>2022</v>
      </c>
      <c r="B26" s="7"/>
      <c r="C26" s="7"/>
      <c r="D26" s="4" t="s">
        <v>8</v>
      </c>
      <c r="E26" s="6"/>
      <c r="F26" s="6"/>
      <c r="G26" s="6"/>
      <c r="H26" s="6"/>
      <c r="I26" s="6"/>
      <c r="J26" s="6"/>
      <c r="K26" s="6"/>
      <c r="L26" s="6"/>
      <c r="M26" s="6"/>
    </row>
    <row r="27" spans="1:13" x14ac:dyDescent="0.35">
      <c r="A27" s="4">
        <v>1998</v>
      </c>
      <c r="B27" s="5">
        <v>103</v>
      </c>
      <c r="C27" s="5">
        <v>6.4</v>
      </c>
      <c r="D27" t="s">
        <v>9</v>
      </c>
    </row>
    <row r="28" spans="1:13" x14ac:dyDescent="0.35">
      <c r="A28" s="4">
        <v>1999</v>
      </c>
      <c r="B28" s="5">
        <v>135</v>
      </c>
      <c r="C28" s="5">
        <v>12</v>
      </c>
      <c r="D28" t="s">
        <v>9</v>
      </c>
    </row>
    <row r="29" spans="1:13" x14ac:dyDescent="0.35">
      <c r="A29" s="4">
        <v>2000</v>
      </c>
      <c r="B29" s="5">
        <v>141</v>
      </c>
      <c r="C29" s="5">
        <v>13.2</v>
      </c>
      <c r="D29" t="s">
        <v>9</v>
      </c>
    </row>
    <row r="30" spans="1:13" x14ac:dyDescent="0.35">
      <c r="A30" s="4">
        <v>2001</v>
      </c>
      <c r="B30" s="5">
        <v>175</v>
      </c>
      <c r="C30" s="5">
        <v>12.6</v>
      </c>
      <c r="D30" t="s">
        <v>9</v>
      </c>
    </row>
    <row r="31" spans="1:13" x14ac:dyDescent="0.35">
      <c r="A31" s="4">
        <v>2002</v>
      </c>
      <c r="B31" s="5">
        <v>193</v>
      </c>
      <c r="C31" s="5">
        <v>9.3000000000000007</v>
      </c>
      <c r="D31" t="s">
        <v>9</v>
      </c>
    </row>
    <row r="32" spans="1:13" x14ac:dyDescent="0.35">
      <c r="A32" s="4">
        <v>2003</v>
      </c>
      <c r="B32" s="5">
        <v>202</v>
      </c>
      <c r="C32" s="5">
        <v>16.5</v>
      </c>
      <c r="D32" t="s">
        <v>9</v>
      </c>
    </row>
    <row r="33" spans="1:4" x14ac:dyDescent="0.35">
      <c r="A33" s="4">
        <v>2004</v>
      </c>
      <c r="B33" s="5">
        <v>209</v>
      </c>
      <c r="C33" s="5">
        <v>14.9</v>
      </c>
      <c r="D33" t="s">
        <v>9</v>
      </c>
    </row>
    <row r="34" spans="1:4" x14ac:dyDescent="0.35">
      <c r="A34" s="4">
        <v>2005</v>
      </c>
      <c r="B34" s="5">
        <v>208</v>
      </c>
      <c r="C34" s="5">
        <v>22.6</v>
      </c>
      <c r="D34" t="s">
        <v>9</v>
      </c>
    </row>
    <row r="35" spans="1:4" x14ac:dyDescent="0.35">
      <c r="A35" s="4">
        <v>2006</v>
      </c>
      <c r="B35" s="5">
        <v>190</v>
      </c>
      <c r="C35" s="5">
        <v>18.8</v>
      </c>
      <c r="D35" t="s">
        <v>9</v>
      </c>
    </row>
    <row r="36" spans="1:4" x14ac:dyDescent="0.35">
      <c r="A36" s="4">
        <v>2007</v>
      </c>
      <c r="B36" s="5">
        <v>184</v>
      </c>
      <c r="C36" s="5">
        <v>23.1</v>
      </c>
      <c r="D36" t="s">
        <v>9</v>
      </c>
    </row>
    <row r="37" spans="1:4" x14ac:dyDescent="0.35">
      <c r="A37" s="4">
        <v>2008</v>
      </c>
      <c r="B37" s="5">
        <v>192</v>
      </c>
      <c r="C37" s="5">
        <v>16.100000000000001</v>
      </c>
      <c r="D37" t="s">
        <v>9</v>
      </c>
    </row>
    <row r="38" spans="1:4" x14ac:dyDescent="0.35">
      <c r="A38" s="4">
        <v>2009</v>
      </c>
      <c r="B38" s="5">
        <v>185</v>
      </c>
      <c r="C38" s="5">
        <v>23.2</v>
      </c>
      <c r="D38" t="s">
        <v>9</v>
      </c>
    </row>
    <row r="39" spans="1:4" x14ac:dyDescent="0.35">
      <c r="A39" s="4">
        <v>2010</v>
      </c>
      <c r="B39" s="5">
        <v>188</v>
      </c>
      <c r="C39" s="5">
        <v>18.7</v>
      </c>
      <c r="D39" t="s">
        <v>9</v>
      </c>
    </row>
    <row r="40" spans="1:4" x14ac:dyDescent="0.35">
      <c r="A40" s="4">
        <v>2011</v>
      </c>
      <c r="D40" t="s">
        <v>9</v>
      </c>
    </row>
    <row r="41" spans="1:4" x14ac:dyDescent="0.35">
      <c r="A41" s="4">
        <v>2012</v>
      </c>
      <c r="D41" t="s">
        <v>9</v>
      </c>
    </row>
    <row r="42" spans="1:4" x14ac:dyDescent="0.35">
      <c r="A42" s="4">
        <v>2013</v>
      </c>
      <c r="D42" t="s">
        <v>9</v>
      </c>
    </row>
    <row r="43" spans="1:4" x14ac:dyDescent="0.35">
      <c r="A43" s="4">
        <v>2014</v>
      </c>
      <c r="D43" t="s">
        <v>9</v>
      </c>
    </row>
    <row r="44" spans="1:4" x14ac:dyDescent="0.35">
      <c r="A44" s="4">
        <v>2015</v>
      </c>
      <c r="D44" t="s">
        <v>9</v>
      </c>
    </row>
    <row r="45" spans="1:4" x14ac:dyDescent="0.35">
      <c r="A45" s="4">
        <v>2016</v>
      </c>
      <c r="D45" t="s">
        <v>9</v>
      </c>
    </row>
    <row r="46" spans="1:4" x14ac:dyDescent="0.35">
      <c r="A46" s="4">
        <v>2017</v>
      </c>
      <c r="D46" t="s">
        <v>9</v>
      </c>
    </row>
    <row r="47" spans="1:4" x14ac:dyDescent="0.35">
      <c r="A47" s="4">
        <v>2018</v>
      </c>
      <c r="D47" t="s">
        <v>9</v>
      </c>
    </row>
    <row r="48" spans="1:4" x14ac:dyDescent="0.35">
      <c r="A48" s="4">
        <v>2019</v>
      </c>
      <c r="D48" t="s">
        <v>9</v>
      </c>
    </row>
    <row r="49" spans="1:4" x14ac:dyDescent="0.35">
      <c r="A49" s="4">
        <v>2020</v>
      </c>
      <c r="D49" t="s">
        <v>9</v>
      </c>
    </row>
    <row r="50" spans="1:4" x14ac:dyDescent="0.35">
      <c r="A50" s="4">
        <v>2021</v>
      </c>
      <c r="D50" t="s">
        <v>9</v>
      </c>
    </row>
    <row r="51" spans="1:4" x14ac:dyDescent="0.35">
      <c r="A51" s="6">
        <v>2022</v>
      </c>
      <c r="B51" s="9"/>
      <c r="C51" s="9"/>
      <c r="D51" s="8" t="s">
        <v>9</v>
      </c>
    </row>
    <row r="52" spans="1:4" x14ac:dyDescent="0.35">
      <c r="A52" s="4">
        <v>1998</v>
      </c>
      <c r="B52" s="5">
        <v>126</v>
      </c>
      <c r="C52" s="5">
        <v>10.8</v>
      </c>
      <c r="D52" t="s">
        <v>10</v>
      </c>
    </row>
    <row r="53" spans="1:4" x14ac:dyDescent="0.35">
      <c r="A53" s="4">
        <v>1999</v>
      </c>
      <c r="B53" s="5">
        <v>147</v>
      </c>
      <c r="C53" s="5">
        <v>15</v>
      </c>
      <c r="D53" t="s">
        <v>10</v>
      </c>
    </row>
    <row r="54" spans="1:4" x14ac:dyDescent="0.35">
      <c r="A54" s="4">
        <v>2000</v>
      </c>
      <c r="B54" s="5">
        <v>149</v>
      </c>
      <c r="C54" s="5">
        <v>15.1</v>
      </c>
      <c r="D54" t="s">
        <v>10</v>
      </c>
    </row>
    <row r="55" spans="1:4" x14ac:dyDescent="0.35">
      <c r="A55" s="4">
        <v>2001</v>
      </c>
      <c r="B55" s="5">
        <v>181</v>
      </c>
      <c r="C55" s="5">
        <v>14</v>
      </c>
      <c r="D55" t="s">
        <v>10</v>
      </c>
    </row>
    <row r="56" spans="1:4" x14ac:dyDescent="0.35">
      <c r="A56" s="4">
        <v>2002</v>
      </c>
      <c r="B56" s="5">
        <v>198</v>
      </c>
      <c r="C56" s="5">
        <v>13.2</v>
      </c>
      <c r="D56" t="s">
        <v>10</v>
      </c>
    </row>
    <row r="57" spans="1:4" x14ac:dyDescent="0.35">
      <c r="A57" s="4">
        <v>2003</v>
      </c>
      <c r="B57" s="5">
        <v>210</v>
      </c>
      <c r="C57" s="5">
        <v>18.100000000000001</v>
      </c>
      <c r="D57" t="s">
        <v>10</v>
      </c>
    </row>
    <row r="58" spans="1:4" x14ac:dyDescent="0.35">
      <c r="A58" s="4">
        <v>2004</v>
      </c>
      <c r="B58" s="5">
        <v>218</v>
      </c>
      <c r="C58" s="5">
        <v>17</v>
      </c>
      <c r="D58" t="s">
        <v>10</v>
      </c>
    </row>
    <row r="59" spans="1:4" x14ac:dyDescent="0.35">
      <c r="A59" s="4">
        <v>2005</v>
      </c>
      <c r="B59" s="5">
        <v>219</v>
      </c>
      <c r="C59" s="5">
        <v>26.3</v>
      </c>
      <c r="D59" t="s">
        <v>10</v>
      </c>
    </row>
    <row r="60" spans="1:4" x14ac:dyDescent="0.35">
      <c r="A60" s="4">
        <v>2006</v>
      </c>
      <c r="B60" s="5">
        <v>200</v>
      </c>
      <c r="C60" s="5">
        <v>21.4</v>
      </c>
      <c r="D60" t="s">
        <v>10</v>
      </c>
    </row>
    <row r="61" spans="1:4" x14ac:dyDescent="0.35">
      <c r="A61" s="4">
        <v>2007</v>
      </c>
      <c r="B61" s="5">
        <v>194</v>
      </c>
      <c r="C61" s="5">
        <v>25.8</v>
      </c>
      <c r="D61" t="s">
        <v>10</v>
      </c>
    </row>
    <row r="62" spans="1:4" x14ac:dyDescent="0.35">
      <c r="A62" s="4">
        <v>2008</v>
      </c>
      <c r="B62" s="5">
        <v>207</v>
      </c>
      <c r="C62" s="5">
        <v>18.399999999999999</v>
      </c>
      <c r="D62" t="s">
        <v>10</v>
      </c>
    </row>
    <row r="63" spans="1:4" x14ac:dyDescent="0.35">
      <c r="A63" s="4">
        <v>2009</v>
      </c>
      <c r="B63" s="5">
        <v>206</v>
      </c>
      <c r="C63" s="5">
        <v>20.3</v>
      </c>
      <c r="D63" t="s">
        <v>10</v>
      </c>
    </row>
    <row r="64" spans="1:4" x14ac:dyDescent="0.35">
      <c r="A64" s="4">
        <v>2010</v>
      </c>
      <c r="B64" s="5">
        <v>194</v>
      </c>
      <c r="C64" s="5">
        <v>18.399999999999999</v>
      </c>
      <c r="D64" t="s">
        <v>10</v>
      </c>
    </row>
    <row r="65" spans="1:4" x14ac:dyDescent="0.35">
      <c r="A65" s="4">
        <v>2011</v>
      </c>
      <c r="B65" s="5">
        <v>197</v>
      </c>
      <c r="C65" s="5">
        <v>15.8</v>
      </c>
      <c r="D65" t="s">
        <v>10</v>
      </c>
    </row>
    <row r="66" spans="1:4" x14ac:dyDescent="0.35">
      <c r="A66" s="4">
        <v>2012</v>
      </c>
      <c r="B66" s="5">
        <v>209</v>
      </c>
      <c r="C66" s="5">
        <v>15.4</v>
      </c>
      <c r="D66" t="s">
        <v>10</v>
      </c>
    </row>
    <row r="67" spans="1:4" x14ac:dyDescent="0.35">
      <c r="A67" s="4">
        <v>2013</v>
      </c>
      <c r="D67" t="s">
        <v>10</v>
      </c>
    </row>
    <row r="68" spans="1:4" x14ac:dyDescent="0.35">
      <c r="A68" s="4">
        <v>2014</v>
      </c>
      <c r="D68" t="s">
        <v>10</v>
      </c>
    </row>
    <row r="69" spans="1:4" x14ac:dyDescent="0.35">
      <c r="A69" s="4">
        <v>2015</v>
      </c>
      <c r="D69" t="s">
        <v>10</v>
      </c>
    </row>
    <row r="70" spans="1:4" x14ac:dyDescent="0.35">
      <c r="A70" s="4">
        <v>2016</v>
      </c>
      <c r="D70" t="s">
        <v>10</v>
      </c>
    </row>
    <row r="71" spans="1:4" x14ac:dyDescent="0.35">
      <c r="A71" s="4">
        <v>2017</v>
      </c>
      <c r="D71" t="s">
        <v>10</v>
      </c>
    </row>
    <row r="72" spans="1:4" x14ac:dyDescent="0.35">
      <c r="A72" s="4">
        <v>2018</v>
      </c>
      <c r="D72" t="s">
        <v>10</v>
      </c>
    </row>
    <row r="73" spans="1:4" x14ac:dyDescent="0.35">
      <c r="A73" s="4">
        <v>2019</v>
      </c>
      <c r="D73" t="s">
        <v>10</v>
      </c>
    </row>
    <row r="74" spans="1:4" x14ac:dyDescent="0.35">
      <c r="A74" s="4">
        <v>2020</v>
      </c>
      <c r="D74" t="s">
        <v>10</v>
      </c>
    </row>
    <row r="75" spans="1:4" x14ac:dyDescent="0.35">
      <c r="A75" s="4">
        <v>2021</v>
      </c>
      <c r="D75" t="s">
        <v>10</v>
      </c>
    </row>
    <row r="76" spans="1:4" x14ac:dyDescent="0.35">
      <c r="A76" s="6">
        <v>2022</v>
      </c>
      <c r="B76" s="9"/>
      <c r="C76" s="9"/>
      <c r="D76" s="8" t="s">
        <v>10</v>
      </c>
    </row>
    <row r="77" spans="1:4" x14ac:dyDescent="0.35">
      <c r="A77" s="4">
        <v>1998</v>
      </c>
      <c r="B77" s="5">
        <v>126</v>
      </c>
      <c r="C77" s="5">
        <v>11</v>
      </c>
      <c r="D77" t="s">
        <v>11</v>
      </c>
    </row>
    <row r="78" spans="1:4" x14ac:dyDescent="0.35">
      <c r="A78" s="4">
        <v>1999</v>
      </c>
      <c r="B78" s="5">
        <v>145</v>
      </c>
      <c r="C78" s="5">
        <v>14.6</v>
      </c>
      <c r="D78" t="s">
        <v>11</v>
      </c>
    </row>
    <row r="79" spans="1:4" x14ac:dyDescent="0.35">
      <c r="A79" s="4">
        <v>2000</v>
      </c>
      <c r="B79" s="5">
        <v>146</v>
      </c>
      <c r="C79" s="5">
        <v>14.4</v>
      </c>
      <c r="D79" t="s">
        <v>11</v>
      </c>
    </row>
    <row r="80" spans="1:4" x14ac:dyDescent="0.35">
      <c r="A80" s="4">
        <v>2001</v>
      </c>
      <c r="B80" s="5">
        <v>178</v>
      </c>
      <c r="C80" s="5">
        <v>13.5</v>
      </c>
      <c r="D80" t="s">
        <v>11</v>
      </c>
    </row>
    <row r="81" spans="1:4" x14ac:dyDescent="0.35">
      <c r="A81" s="4">
        <v>2002</v>
      </c>
      <c r="B81" s="5">
        <v>197</v>
      </c>
      <c r="C81" s="5">
        <v>14.1</v>
      </c>
      <c r="D81" t="s">
        <v>11</v>
      </c>
    </row>
    <row r="82" spans="1:4" x14ac:dyDescent="0.35">
      <c r="A82" s="4">
        <v>2003</v>
      </c>
      <c r="B82" s="5">
        <v>207</v>
      </c>
      <c r="C82" s="5">
        <v>17.5</v>
      </c>
      <c r="D82" t="s">
        <v>11</v>
      </c>
    </row>
    <row r="83" spans="1:4" x14ac:dyDescent="0.35">
      <c r="A83" s="4">
        <v>2004</v>
      </c>
      <c r="B83" s="5">
        <v>216</v>
      </c>
      <c r="C83" s="5">
        <v>16.600000000000001</v>
      </c>
      <c r="D83" t="s">
        <v>11</v>
      </c>
    </row>
    <row r="84" spans="1:4" x14ac:dyDescent="0.35">
      <c r="A84" s="4">
        <v>2005</v>
      </c>
      <c r="B84" s="5">
        <v>215</v>
      </c>
      <c r="C84" s="5">
        <v>26.7</v>
      </c>
      <c r="D84" t="s">
        <v>11</v>
      </c>
    </row>
    <row r="85" spans="1:4" x14ac:dyDescent="0.35">
      <c r="A85" s="4">
        <v>2006</v>
      </c>
      <c r="B85" s="5">
        <v>197</v>
      </c>
      <c r="C85" s="5">
        <v>21.4</v>
      </c>
      <c r="D85" t="s">
        <v>11</v>
      </c>
    </row>
    <row r="86" spans="1:4" x14ac:dyDescent="0.35">
      <c r="A86" s="4">
        <v>2007</v>
      </c>
      <c r="B86" s="5">
        <v>192</v>
      </c>
      <c r="C86" s="5">
        <v>26</v>
      </c>
      <c r="D86" t="s">
        <v>11</v>
      </c>
    </row>
    <row r="87" spans="1:4" x14ac:dyDescent="0.35">
      <c r="A87" s="4">
        <v>2008</v>
      </c>
      <c r="B87" s="5">
        <v>210</v>
      </c>
      <c r="C87" s="5">
        <v>18.600000000000001</v>
      </c>
      <c r="D87" t="s">
        <v>11</v>
      </c>
    </row>
    <row r="88" spans="1:4" x14ac:dyDescent="0.35">
      <c r="A88" s="4">
        <v>2009</v>
      </c>
      <c r="B88" s="5">
        <v>208</v>
      </c>
      <c r="C88" s="5">
        <v>21.2</v>
      </c>
      <c r="D88" t="s">
        <v>11</v>
      </c>
    </row>
    <row r="89" spans="1:4" x14ac:dyDescent="0.35">
      <c r="A89" s="4">
        <v>2010</v>
      </c>
      <c r="B89" s="5">
        <v>200</v>
      </c>
      <c r="C89" s="5">
        <v>19.100000000000001</v>
      </c>
      <c r="D89" t="s">
        <v>11</v>
      </c>
    </row>
    <row r="90" spans="1:4" x14ac:dyDescent="0.35">
      <c r="A90" s="4">
        <v>2011</v>
      </c>
      <c r="B90" s="5">
        <v>205</v>
      </c>
      <c r="C90" s="5">
        <v>15.9</v>
      </c>
      <c r="D90" t="s">
        <v>11</v>
      </c>
    </row>
    <row r="91" spans="1:4" x14ac:dyDescent="0.35">
      <c r="A91" s="4">
        <v>2012</v>
      </c>
      <c r="B91" s="5">
        <v>217</v>
      </c>
      <c r="C91" s="5">
        <v>11.3</v>
      </c>
      <c r="D91" t="s">
        <v>11</v>
      </c>
    </row>
    <row r="92" spans="1:4" x14ac:dyDescent="0.35">
      <c r="A92" s="4">
        <v>2013</v>
      </c>
      <c r="B92" s="5">
        <v>235</v>
      </c>
      <c r="C92" s="5">
        <v>14</v>
      </c>
      <c r="D92" t="s">
        <v>11</v>
      </c>
    </row>
    <row r="93" spans="1:4" x14ac:dyDescent="0.35">
      <c r="A93" s="4">
        <v>2014</v>
      </c>
      <c r="B93" s="5">
        <v>238</v>
      </c>
      <c r="C93" s="5">
        <v>19</v>
      </c>
      <c r="D93" t="s">
        <v>11</v>
      </c>
    </row>
    <row r="94" spans="1:4" x14ac:dyDescent="0.35">
      <c r="A94" s="4">
        <v>2015</v>
      </c>
      <c r="B94" s="5">
        <v>243</v>
      </c>
      <c r="C94" s="5">
        <v>18.899999999999999</v>
      </c>
      <c r="D94" t="s">
        <v>11</v>
      </c>
    </row>
    <row r="95" spans="1:4" x14ac:dyDescent="0.35">
      <c r="A95" s="4">
        <v>2016</v>
      </c>
      <c r="D95" t="s">
        <v>11</v>
      </c>
    </row>
    <row r="96" spans="1:4" x14ac:dyDescent="0.35">
      <c r="A96" s="4">
        <v>2017</v>
      </c>
      <c r="D96" t="s">
        <v>11</v>
      </c>
    </row>
    <row r="97" spans="1:4" x14ac:dyDescent="0.35">
      <c r="A97" s="4">
        <v>2018</v>
      </c>
      <c r="D97" t="s">
        <v>11</v>
      </c>
    </row>
    <row r="98" spans="1:4" x14ac:dyDescent="0.35">
      <c r="A98" s="4">
        <v>2019</v>
      </c>
      <c r="D98" t="s">
        <v>11</v>
      </c>
    </row>
    <row r="99" spans="1:4" x14ac:dyDescent="0.35">
      <c r="A99" s="4">
        <v>2020</v>
      </c>
      <c r="D99" t="s">
        <v>11</v>
      </c>
    </row>
    <row r="100" spans="1:4" x14ac:dyDescent="0.35">
      <c r="A100" s="4">
        <v>2021</v>
      </c>
      <c r="D100" t="s">
        <v>11</v>
      </c>
    </row>
    <row r="101" spans="1:4" x14ac:dyDescent="0.35">
      <c r="A101" s="6">
        <v>2022</v>
      </c>
      <c r="B101" s="9"/>
      <c r="C101" s="9"/>
      <c r="D101" s="8" t="s">
        <v>11</v>
      </c>
    </row>
    <row r="102" spans="1:4" x14ac:dyDescent="0.35">
      <c r="A102" s="4">
        <v>1998</v>
      </c>
      <c r="B102" s="5">
        <v>125</v>
      </c>
      <c r="C102" s="5">
        <v>10.9</v>
      </c>
      <c r="D102" t="s">
        <v>12</v>
      </c>
    </row>
    <row r="103" spans="1:4" x14ac:dyDescent="0.35">
      <c r="A103" s="4">
        <v>1999</v>
      </c>
      <c r="B103" s="5">
        <v>146</v>
      </c>
      <c r="C103" s="5">
        <v>14.2</v>
      </c>
      <c r="D103" t="s">
        <v>12</v>
      </c>
    </row>
    <row r="104" spans="1:4" x14ac:dyDescent="0.35">
      <c r="A104" s="4">
        <v>2000</v>
      </c>
      <c r="B104" s="5">
        <v>147</v>
      </c>
      <c r="C104" s="5">
        <v>14.2</v>
      </c>
      <c r="D104" t="s">
        <v>12</v>
      </c>
    </row>
    <row r="105" spans="1:4" x14ac:dyDescent="0.35">
      <c r="A105" s="4">
        <v>2001</v>
      </c>
      <c r="B105" s="5">
        <v>179</v>
      </c>
      <c r="C105" s="5">
        <v>13.4</v>
      </c>
      <c r="D105" t="s">
        <v>12</v>
      </c>
    </row>
    <row r="106" spans="1:4" x14ac:dyDescent="0.35">
      <c r="A106" s="4">
        <v>2002</v>
      </c>
      <c r="B106" s="5">
        <v>197</v>
      </c>
      <c r="C106" s="5">
        <v>13.9</v>
      </c>
      <c r="D106" t="s">
        <v>12</v>
      </c>
    </row>
    <row r="107" spans="1:4" x14ac:dyDescent="0.35">
      <c r="A107" s="4">
        <v>2003</v>
      </c>
      <c r="B107" s="5">
        <v>207</v>
      </c>
      <c r="C107" s="5">
        <v>17.3</v>
      </c>
      <c r="D107" t="s">
        <v>12</v>
      </c>
    </row>
    <row r="108" spans="1:4" x14ac:dyDescent="0.35">
      <c r="A108" s="4">
        <v>2004</v>
      </c>
      <c r="B108" s="5">
        <v>216</v>
      </c>
      <c r="C108" s="5">
        <v>16.600000000000001</v>
      </c>
      <c r="D108" t="s">
        <v>12</v>
      </c>
    </row>
    <row r="109" spans="1:4" x14ac:dyDescent="0.35">
      <c r="A109" s="4">
        <v>2005</v>
      </c>
      <c r="B109" s="5">
        <v>216</v>
      </c>
      <c r="C109" s="5">
        <v>26.1</v>
      </c>
      <c r="D109" t="s">
        <v>12</v>
      </c>
    </row>
    <row r="110" spans="1:4" x14ac:dyDescent="0.35">
      <c r="A110" s="4">
        <v>2006</v>
      </c>
      <c r="B110" s="5">
        <v>199</v>
      </c>
      <c r="C110" s="5">
        <v>21.5</v>
      </c>
      <c r="D110" t="s">
        <v>12</v>
      </c>
    </row>
    <row r="111" spans="1:4" x14ac:dyDescent="0.35">
      <c r="A111" s="4">
        <v>2007</v>
      </c>
      <c r="B111" s="5">
        <v>195</v>
      </c>
      <c r="C111" s="5">
        <v>26</v>
      </c>
      <c r="D111" t="s">
        <v>12</v>
      </c>
    </row>
    <row r="112" spans="1:4" x14ac:dyDescent="0.35">
      <c r="A112" s="4">
        <v>2008</v>
      </c>
      <c r="B112" s="5">
        <v>214</v>
      </c>
      <c r="C112" s="5">
        <v>19</v>
      </c>
      <c r="D112" t="s">
        <v>12</v>
      </c>
    </row>
    <row r="113" spans="1:4" x14ac:dyDescent="0.35">
      <c r="A113" s="4">
        <v>2009</v>
      </c>
      <c r="B113" s="5">
        <v>211</v>
      </c>
      <c r="C113" s="5">
        <v>21.4</v>
      </c>
      <c r="D113" t="s">
        <v>12</v>
      </c>
    </row>
    <row r="114" spans="1:4" x14ac:dyDescent="0.35">
      <c r="A114" s="4">
        <v>2010</v>
      </c>
      <c r="B114" s="5">
        <v>203</v>
      </c>
      <c r="C114" s="5">
        <v>19.600000000000001</v>
      </c>
      <c r="D114" t="s">
        <v>12</v>
      </c>
    </row>
    <row r="115" spans="1:4" x14ac:dyDescent="0.35">
      <c r="A115" s="4">
        <v>2011</v>
      </c>
      <c r="B115" s="5">
        <v>208</v>
      </c>
      <c r="C115" s="5">
        <v>16.2</v>
      </c>
      <c r="D115" t="s">
        <v>12</v>
      </c>
    </row>
    <row r="116" spans="1:4" x14ac:dyDescent="0.35">
      <c r="A116" s="4">
        <v>2012</v>
      </c>
      <c r="B116" s="5">
        <v>220</v>
      </c>
      <c r="C116" s="5">
        <v>12.3</v>
      </c>
      <c r="D116" t="s">
        <v>12</v>
      </c>
    </row>
    <row r="117" spans="1:4" x14ac:dyDescent="0.35">
      <c r="A117" s="4">
        <v>2013</v>
      </c>
      <c r="B117" s="5">
        <v>240</v>
      </c>
      <c r="C117" s="5">
        <v>14.1</v>
      </c>
      <c r="D117" t="s">
        <v>12</v>
      </c>
    </row>
    <row r="118" spans="1:4" x14ac:dyDescent="0.35">
      <c r="A118" s="4">
        <v>2014</v>
      </c>
      <c r="B118" s="5">
        <v>243</v>
      </c>
      <c r="C118" s="5">
        <v>18.7</v>
      </c>
      <c r="D118" t="s">
        <v>12</v>
      </c>
    </row>
    <row r="119" spans="1:4" x14ac:dyDescent="0.35">
      <c r="A119" s="4">
        <v>2015</v>
      </c>
      <c r="B119" s="5">
        <v>250</v>
      </c>
      <c r="C119" s="5">
        <v>18.2</v>
      </c>
      <c r="D119" t="s">
        <v>12</v>
      </c>
    </row>
    <row r="120" spans="1:4" x14ac:dyDescent="0.35">
      <c r="A120" s="4">
        <v>2016</v>
      </c>
      <c r="B120" s="5">
        <v>246</v>
      </c>
      <c r="C120" s="5">
        <v>24.3</v>
      </c>
      <c r="D120" t="s">
        <v>12</v>
      </c>
    </row>
    <row r="121" spans="1:4" x14ac:dyDescent="0.35">
      <c r="A121" s="4">
        <v>2017</v>
      </c>
      <c r="B121" s="5">
        <v>232</v>
      </c>
      <c r="C121" s="5">
        <v>25.2</v>
      </c>
      <c r="D121" t="s">
        <v>12</v>
      </c>
    </row>
    <row r="122" spans="1:4" x14ac:dyDescent="0.35">
      <c r="A122" s="4">
        <v>2018</v>
      </c>
      <c r="D122" t="s">
        <v>12</v>
      </c>
    </row>
    <row r="123" spans="1:4" x14ac:dyDescent="0.35">
      <c r="A123" s="4">
        <v>2019</v>
      </c>
      <c r="D123" t="s">
        <v>12</v>
      </c>
    </row>
    <row r="124" spans="1:4" x14ac:dyDescent="0.35">
      <c r="A124" s="4">
        <v>2020</v>
      </c>
      <c r="D124" t="s">
        <v>12</v>
      </c>
    </row>
    <row r="125" spans="1:4" x14ac:dyDescent="0.35">
      <c r="A125" s="4">
        <v>2021</v>
      </c>
      <c r="D125" t="s">
        <v>12</v>
      </c>
    </row>
    <row r="126" spans="1:4" x14ac:dyDescent="0.35">
      <c r="A126" s="6">
        <v>2022</v>
      </c>
      <c r="B126" s="9"/>
      <c r="C126" s="9"/>
      <c r="D126" s="8" t="s">
        <v>12</v>
      </c>
    </row>
    <row r="127" spans="1:4" x14ac:dyDescent="0.35">
      <c r="A127" s="4">
        <v>1998</v>
      </c>
      <c r="B127" s="5">
        <v>133</v>
      </c>
      <c r="C127" s="5">
        <v>13.5</v>
      </c>
      <c r="D127" t="s">
        <v>13</v>
      </c>
    </row>
    <row r="128" spans="1:4" x14ac:dyDescent="0.35">
      <c r="A128" s="4">
        <v>1999</v>
      </c>
      <c r="B128" s="5">
        <v>145</v>
      </c>
      <c r="C128" s="5">
        <v>14.3</v>
      </c>
      <c r="D128" t="s">
        <v>13</v>
      </c>
    </row>
    <row r="129" spans="1:4" x14ac:dyDescent="0.35">
      <c r="A129" s="4">
        <v>2000</v>
      </c>
      <c r="B129" s="5">
        <v>147</v>
      </c>
      <c r="C129" s="5">
        <v>13.7</v>
      </c>
      <c r="D129" t="s">
        <v>13</v>
      </c>
    </row>
    <row r="130" spans="1:4" x14ac:dyDescent="0.35">
      <c r="A130" s="4">
        <v>2001</v>
      </c>
      <c r="B130" s="5">
        <v>182</v>
      </c>
      <c r="C130" s="5">
        <v>13.4</v>
      </c>
      <c r="D130" t="s">
        <v>13</v>
      </c>
    </row>
    <row r="131" spans="1:4" x14ac:dyDescent="0.35">
      <c r="A131" s="4">
        <v>2002</v>
      </c>
      <c r="B131" s="5">
        <v>210</v>
      </c>
      <c r="C131" s="5">
        <v>23.5</v>
      </c>
      <c r="D131" t="s">
        <v>13</v>
      </c>
    </row>
    <row r="132" spans="1:4" x14ac:dyDescent="0.35">
      <c r="A132" s="4">
        <v>2003</v>
      </c>
      <c r="B132" s="5">
        <v>209</v>
      </c>
      <c r="C132" s="5">
        <v>16.5</v>
      </c>
      <c r="D132" t="s">
        <v>13</v>
      </c>
    </row>
    <row r="133" spans="1:4" x14ac:dyDescent="0.35">
      <c r="A133" s="4">
        <v>2004</v>
      </c>
      <c r="B133" s="5">
        <v>224</v>
      </c>
      <c r="C133" s="5">
        <v>19.399999999999999</v>
      </c>
      <c r="D133" t="s">
        <v>13</v>
      </c>
    </row>
    <row r="134" spans="1:4" x14ac:dyDescent="0.35">
      <c r="A134" s="4">
        <v>2005</v>
      </c>
      <c r="B134" s="5">
        <v>208</v>
      </c>
      <c r="C134" s="5">
        <v>29.3</v>
      </c>
      <c r="D134" t="s">
        <v>13</v>
      </c>
    </row>
    <row r="135" spans="1:4" x14ac:dyDescent="0.35">
      <c r="A135" s="4">
        <v>2006</v>
      </c>
      <c r="B135" s="5">
        <v>195</v>
      </c>
      <c r="C135" s="5">
        <v>20.399999999999999</v>
      </c>
      <c r="D135" t="s">
        <v>13</v>
      </c>
    </row>
    <row r="136" spans="1:4" x14ac:dyDescent="0.35">
      <c r="A136" s="4">
        <v>2007</v>
      </c>
      <c r="B136" s="5">
        <v>185</v>
      </c>
      <c r="C136" s="5">
        <v>28.5</v>
      </c>
      <c r="D136" t="s">
        <v>13</v>
      </c>
    </row>
    <row r="137" spans="1:4" x14ac:dyDescent="0.35">
      <c r="A137" s="4">
        <v>2008</v>
      </c>
      <c r="B137" s="5">
        <v>217</v>
      </c>
      <c r="C137" s="5">
        <v>19.399999999999999</v>
      </c>
      <c r="D137" t="s">
        <v>13</v>
      </c>
    </row>
    <row r="138" spans="1:4" x14ac:dyDescent="0.35">
      <c r="A138" s="4">
        <v>2009</v>
      </c>
      <c r="B138" s="5">
        <v>208</v>
      </c>
      <c r="C138" s="5">
        <v>21.3</v>
      </c>
      <c r="D138" t="s">
        <v>13</v>
      </c>
    </row>
    <row r="139" spans="1:4" x14ac:dyDescent="0.35">
      <c r="A139" s="4">
        <v>2010</v>
      </c>
      <c r="B139" s="5">
        <v>201</v>
      </c>
      <c r="C139" s="5">
        <v>18.8</v>
      </c>
      <c r="D139" t="s">
        <v>13</v>
      </c>
    </row>
    <row r="140" spans="1:4" x14ac:dyDescent="0.35">
      <c r="A140" s="4">
        <v>2011</v>
      </c>
      <c r="B140" s="5">
        <v>213</v>
      </c>
      <c r="C140" s="5">
        <v>16.8</v>
      </c>
      <c r="D140" t="s">
        <v>13</v>
      </c>
    </row>
    <row r="141" spans="1:4" x14ac:dyDescent="0.35">
      <c r="A141" s="4">
        <v>2012</v>
      </c>
      <c r="B141" s="5">
        <v>229</v>
      </c>
      <c r="C141" s="5">
        <v>16.3</v>
      </c>
      <c r="D141" t="s">
        <v>13</v>
      </c>
    </row>
    <row r="142" spans="1:4" x14ac:dyDescent="0.35">
      <c r="A142" s="4">
        <v>2013</v>
      </c>
      <c r="B142" s="5">
        <v>249</v>
      </c>
      <c r="C142" s="5">
        <v>17.5</v>
      </c>
      <c r="D142" t="s">
        <v>13</v>
      </c>
    </row>
    <row r="143" spans="1:4" x14ac:dyDescent="0.35">
      <c r="A143" s="4">
        <v>2014</v>
      </c>
      <c r="B143" s="5">
        <v>245</v>
      </c>
      <c r="C143" s="5">
        <v>18.7</v>
      </c>
      <c r="D143" t="s">
        <v>13</v>
      </c>
    </row>
    <row r="144" spans="1:4" x14ac:dyDescent="0.35">
      <c r="A144" s="4">
        <v>2015</v>
      </c>
      <c r="B144" s="5">
        <v>257</v>
      </c>
      <c r="C144" s="5">
        <v>17.899999999999999</v>
      </c>
      <c r="D144" t="s">
        <v>13</v>
      </c>
    </row>
    <row r="145" spans="1:4" x14ac:dyDescent="0.35">
      <c r="A145" s="4">
        <v>2016</v>
      </c>
      <c r="B145" s="5">
        <v>244</v>
      </c>
      <c r="C145" s="5">
        <v>24.5</v>
      </c>
      <c r="D145" t="s">
        <v>13</v>
      </c>
    </row>
    <row r="146" spans="1:4" x14ac:dyDescent="0.35">
      <c r="A146" s="4">
        <v>2017</v>
      </c>
      <c r="B146" s="5">
        <v>224</v>
      </c>
      <c r="C146" s="5">
        <v>22.1</v>
      </c>
      <c r="D146" t="s">
        <v>13</v>
      </c>
    </row>
    <row r="147" spans="1:4" x14ac:dyDescent="0.35">
      <c r="A147" s="4">
        <v>2018</v>
      </c>
      <c r="B147" s="5">
        <v>211</v>
      </c>
      <c r="C147" s="5">
        <v>24.5</v>
      </c>
      <c r="D147" t="s">
        <v>13</v>
      </c>
    </row>
    <row r="148" spans="1:4" x14ac:dyDescent="0.35">
      <c r="A148" s="4">
        <v>2019</v>
      </c>
      <c r="B148" s="5">
        <v>228</v>
      </c>
      <c r="C148" s="5">
        <v>24</v>
      </c>
      <c r="D148" t="s">
        <v>13</v>
      </c>
    </row>
    <row r="149" spans="1:4" x14ac:dyDescent="0.35">
      <c r="A149" s="4">
        <v>2020</v>
      </c>
      <c r="B149" s="5">
        <v>212</v>
      </c>
      <c r="C149" s="5">
        <v>17.899999999999999</v>
      </c>
      <c r="D149" t="s">
        <v>13</v>
      </c>
    </row>
    <row r="150" spans="1:4" x14ac:dyDescent="0.35">
      <c r="A150" s="4">
        <v>2021</v>
      </c>
      <c r="D150" t="s">
        <v>13</v>
      </c>
    </row>
    <row r="151" spans="1:4" x14ac:dyDescent="0.35">
      <c r="A151" s="6">
        <v>2022</v>
      </c>
      <c r="B151" s="9"/>
      <c r="C151" s="9"/>
      <c r="D151" s="8" t="s">
        <v>13</v>
      </c>
    </row>
    <row r="152" spans="1:4" ht="15" customHeight="1" x14ac:dyDescent="0.35">
      <c r="A152" s="4">
        <v>1998</v>
      </c>
      <c r="B152" s="5">
        <v>127.3</v>
      </c>
      <c r="C152" s="5">
        <v>10.5</v>
      </c>
      <c r="D152" t="s">
        <v>14</v>
      </c>
    </row>
    <row r="153" spans="1:4" x14ac:dyDescent="0.35">
      <c r="A153" s="4">
        <v>1999</v>
      </c>
      <c r="B153" s="5">
        <v>147.1</v>
      </c>
      <c r="C153" s="5">
        <v>15.5</v>
      </c>
      <c r="D153" t="s">
        <v>14</v>
      </c>
    </row>
    <row r="154" spans="1:4" x14ac:dyDescent="0.35">
      <c r="A154" s="4">
        <v>2000</v>
      </c>
      <c r="B154" s="5">
        <v>148</v>
      </c>
      <c r="C154" s="5">
        <v>15.3</v>
      </c>
      <c r="D154" t="s">
        <v>14</v>
      </c>
    </row>
    <row r="155" spans="1:4" x14ac:dyDescent="0.35">
      <c r="A155" s="4">
        <v>2001</v>
      </c>
      <c r="B155" s="5">
        <v>178.9</v>
      </c>
      <c r="C155" s="5">
        <v>14.2</v>
      </c>
      <c r="D155" t="s">
        <v>14</v>
      </c>
    </row>
    <row r="156" spans="1:4" x14ac:dyDescent="0.35">
      <c r="A156" s="4">
        <v>2002</v>
      </c>
      <c r="B156" s="5">
        <v>195.7</v>
      </c>
      <c r="C156" s="5">
        <v>10.3</v>
      </c>
      <c r="D156" t="s">
        <v>14</v>
      </c>
    </row>
    <row r="157" spans="1:4" x14ac:dyDescent="0.35">
      <c r="A157" s="4">
        <v>2003</v>
      </c>
      <c r="B157" s="5">
        <v>208.7</v>
      </c>
      <c r="C157" s="5">
        <v>18.2</v>
      </c>
      <c r="D157" t="s">
        <v>14</v>
      </c>
    </row>
    <row r="158" spans="1:4" x14ac:dyDescent="0.35">
      <c r="A158" s="4">
        <v>2004</v>
      </c>
      <c r="B158" s="5">
        <v>214.9</v>
      </c>
      <c r="C158" s="5">
        <v>16.2</v>
      </c>
      <c r="D158" t="s">
        <v>14</v>
      </c>
    </row>
    <row r="159" spans="1:4" x14ac:dyDescent="0.35">
      <c r="A159" s="4">
        <v>2005</v>
      </c>
      <c r="B159" s="5">
        <v>220</v>
      </c>
      <c r="C159" s="5">
        <v>26.2</v>
      </c>
      <c r="D159" t="s">
        <v>14</v>
      </c>
    </row>
    <row r="160" spans="1:4" x14ac:dyDescent="0.35">
      <c r="A160" s="4">
        <v>2006</v>
      </c>
      <c r="B160" s="5">
        <v>199.2</v>
      </c>
      <c r="C160" s="5">
        <v>21.7</v>
      </c>
      <c r="D160" t="s">
        <v>14</v>
      </c>
    </row>
    <row r="161" spans="1:4" x14ac:dyDescent="0.35">
      <c r="A161" s="4">
        <v>2007</v>
      </c>
      <c r="B161" s="5">
        <v>197.7</v>
      </c>
      <c r="C161" s="5">
        <v>25.6</v>
      </c>
      <c r="D161" t="s">
        <v>14</v>
      </c>
    </row>
    <row r="162" spans="1:4" x14ac:dyDescent="0.35">
      <c r="A162" s="4">
        <v>2008</v>
      </c>
      <c r="B162" s="5">
        <v>211.8</v>
      </c>
      <c r="C162" s="5">
        <v>19.3</v>
      </c>
      <c r="D162" t="s">
        <v>14</v>
      </c>
    </row>
    <row r="163" spans="1:4" x14ac:dyDescent="0.35">
      <c r="A163" s="4">
        <v>2009</v>
      </c>
      <c r="B163" s="5">
        <v>213.8</v>
      </c>
      <c r="C163" s="5">
        <v>22</v>
      </c>
      <c r="D163" t="s">
        <v>14</v>
      </c>
    </row>
    <row r="164" spans="1:4" x14ac:dyDescent="0.35">
      <c r="A164" s="4">
        <v>2010</v>
      </c>
      <c r="B164" s="5">
        <v>205.3</v>
      </c>
      <c r="C164" s="5">
        <v>20.399999999999999</v>
      </c>
      <c r="D164" t="s">
        <v>14</v>
      </c>
    </row>
    <row r="165" spans="1:4" x14ac:dyDescent="0.35">
      <c r="A165" s="4">
        <v>2011</v>
      </c>
      <c r="B165" s="5">
        <v>209.9</v>
      </c>
      <c r="C165" s="5">
        <v>17</v>
      </c>
      <c r="D165" t="s">
        <v>14</v>
      </c>
    </row>
    <row r="166" spans="1:4" x14ac:dyDescent="0.35">
      <c r="A166" s="4">
        <v>2012</v>
      </c>
      <c r="B166" s="5">
        <v>223.5</v>
      </c>
      <c r="C166" s="5">
        <v>14.9</v>
      </c>
      <c r="D166" t="s">
        <v>14</v>
      </c>
    </row>
    <row r="167" spans="1:4" x14ac:dyDescent="0.35">
      <c r="A167" s="4">
        <v>2013</v>
      </c>
      <c r="B167" s="5">
        <v>243</v>
      </c>
      <c r="C167" s="5">
        <v>13.9</v>
      </c>
      <c r="D167" t="s">
        <v>14</v>
      </c>
    </row>
    <row r="168" spans="1:4" x14ac:dyDescent="0.35">
      <c r="A168" s="4">
        <v>2014</v>
      </c>
      <c r="B168" s="5">
        <v>250.7</v>
      </c>
      <c r="C168" s="5">
        <v>20.5</v>
      </c>
      <c r="D168" t="s">
        <v>14</v>
      </c>
    </row>
    <row r="169" spans="1:4" x14ac:dyDescent="0.35">
      <c r="A169" s="4">
        <v>2015</v>
      </c>
      <c r="B169" s="5">
        <v>253.2</v>
      </c>
      <c r="C169" s="5">
        <v>18.399999999999999</v>
      </c>
      <c r="D169" t="s">
        <v>14</v>
      </c>
    </row>
    <row r="170" spans="1:4" x14ac:dyDescent="0.35">
      <c r="A170" s="4">
        <v>2016</v>
      </c>
      <c r="B170" s="5">
        <v>254.9</v>
      </c>
      <c r="C170" s="5">
        <v>24.9</v>
      </c>
      <c r="D170" t="s">
        <v>14</v>
      </c>
    </row>
    <row r="171" spans="1:4" x14ac:dyDescent="0.35">
      <c r="A171" s="4">
        <v>2017</v>
      </c>
      <c r="B171" s="5">
        <v>228.3</v>
      </c>
      <c r="C171" s="5">
        <v>23.1</v>
      </c>
      <c r="D171" t="s">
        <v>14</v>
      </c>
    </row>
    <row r="172" spans="1:4" x14ac:dyDescent="0.35">
      <c r="A172" s="4">
        <v>2018</v>
      </c>
      <c r="B172" s="5">
        <v>214.9</v>
      </c>
      <c r="C172" s="5">
        <v>23.6</v>
      </c>
      <c r="D172" t="s">
        <v>14</v>
      </c>
    </row>
    <row r="173" spans="1:4" x14ac:dyDescent="0.35">
      <c r="A173" s="4">
        <v>2019</v>
      </c>
      <c r="B173" s="5">
        <v>212</v>
      </c>
      <c r="C173" s="5">
        <v>16</v>
      </c>
      <c r="D173" t="s">
        <v>14</v>
      </c>
    </row>
    <row r="174" spans="1:4" x14ac:dyDescent="0.35">
      <c r="A174" s="4">
        <v>2020</v>
      </c>
      <c r="B174" s="5">
        <v>206.9</v>
      </c>
      <c r="C174" s="5">
        <v>17.600000000000001</v>
      </c>
      <c r="D174" t="s">
        <v>14</v>
      </c>
    </row>
    <row r="175" spans="1:4" x14ac:dyDescent="0.35">
      <c r="A175" s="4">
        <v>2021</v>
      </c>
      <c r="B175" s="5">
        <v>210.1</v>
      </c>
      <c r="C175" s="5">
        <v>26.4</v>
      </c>
      <c r="D175" t="s">
        <v>14</v>
      </c>
    </row>
    <row r="176" spans="1:4" x14ac:dyDescent="0.35">
      <c r="A176" s="6">
        <v>2022</v>
      </c>
      <c r="B176" s="7">
        <v>202</v>
      </c>
      <c r="C176" s="7">
        <v>19.100000000000001</v>
      </c>
      <c r="D176" s="8" t="s">
        <v>14</v>
      </c>
    </row>
    <row r="177" spans="1:4" x14ac:dyDescent="0.35">
      <c r="A177">
        <v>1996</v>
      </c>
      <c r="B177" s="3">
        <v>38.8259608948524</v>
      </c>
      <c r="C177" s="3">
        <v>2.7439810905553199</v>
      </c>
      <c r="D177" s="8" t="s">
        <v>17</v>
      </c>
    </row>
    <row r="178" spans="1:4" x14ac:dyDescent="0.35">
      <c r="A178">
        <v>1997</v>
      </c>
      <c r="B178" s="3">
        <v>82.089181519396504</v>
      </c>
      <c r="C178" s="3">
        <v>11.298902595943501</v>
      </c>
      <c r="D178" t="s">
        <v>17</v>
      </c>
    </row>
    <row r="179" spans="1:4" x14ac:dyDescent="0.35">
      <c r="A179">
        <v>1998</v>
      </c>
      <c r="B179" s="3">
        <v>127.35010373538699</v>
      </c>
      <c r="C179" s="3">
        <v>10.5684517227588</v>
      </c>
      <c r="D179" t="s">
        <v>17</v>
      </c>
    </row>
    <row r="180" spans="1:4" x14ac:dyDescent="0.35">
      <c r="A180">
        <v>1999</v>
      </c>
      <c r="B180" s="3">
        <v>147.88777700044099</v>
      </c>
      <c r="C180" s="3">
        <v>15.769061796446801</v>
      </c>
      <c r="D180" t="s">
        <v>17</v>
      </c>
    </row>
    <row r="181" spans="1:4" x14ac:dyDescent="0.35">
      <c r="A181">
        <v>2000</v>
      </c>
      <c r="B181" s="3">
        <v>148.38597807030899</v>
      </c>
      <c r="C181" s="3">
        <v>15.4892418427743</v>
      </c>
      <c r="D181" t="s">
        <v>17</v>
      </c>
    </row>
    <row r="182" spans="1:4" x14ac:dyDescent="0.35">
      <c r="A182">
        <v>2001</v>
      </c>
      <c r="B182" s="3">
        <v>178.96979597028201</v>
      </c>
      <c r="C182" s="3">
        <v>14.3665714873108</v>
      </c>
      <c r="D182" t="s">
        <v>17</v>
      </c>
    </row>
    <row r="183" spans="1:4" x14ac:dyDescent="0.35">
      <c r="A183">
        <v>2002</v>
      </c>
      <c r="B183" s="3">
        <v>196.01685678811401</v>
      </c>
      <c r="C183" s="3">
        <v>10.283227466741099</v>
      </c>
      <c r="D183" t="s">
        <v>17</v>
      </c>
    </row>
    <row r="184" spans="1:4" x14ac:dyDescent="0.35">
      <c r="A184">
        <v>2003</v>
      </c>
      <c r="B184" s="3">
        <v>208.82418564147699</v>
      </c>
      <c r="C184" s="3">
        <v>18.5231493061744</v>
      </c>
      <c r="D184" t="s">
        <v>17</v>
      </c>
    </row>
    <row r="185" spans="1:4" x14ac:dyDescent="0.35">
      <c r="A185">
        <v>2004</v>
      </c>
      <c r="B185" s="3">
        <v>215.172796387001</v>
      </c>
      <c r="C185" s="3">
        <v>16.360883967052999</v>
      </c>
      <c r="D185" t="s">
        <v>17</v>
      </c>
    </row>
    <row r="186" spans="1:4" x14ac:dyDescent="0.35">
      <c r="A186">
        <v>2005</v>
      </c>
      <c r="B186" s="3">
        <v>220.739577368375</v>
      </c>
      <c r="C186" s="3">
        <v>26.6670456086283</v>
      </c>
      <c r="D186" t="s">
        <v>17</v>
      </c>
    </row>
    <row r="187" spans="1:4" x14ac:dyDescent="0.35">
      <c r="A187">
        <v>2006</v>
      </c>
      <c r="B187" s="3">
        <v>199.117959941615</v>
      </c>
      <c r="C187" s="3">
        <v>21.910371555223399</v>
      </c>
      <c r="D187" t="s">
        <v>17</v>
      </c>
    </row>
    <row r="188" spans="1:4" x14ac:dyDescent="0.35">
      <c r="A188">
        <v>2007</v>
      </c>
      <c r="B188" s="3">
        <v>198.28070032674299</v>
      </c>
      <c r="C188" s="3">
        <v>25.962054451612001</v>
      </c>
      <c r="D188" t="s">
        <v>17</v>
      </c>
    </row>
    <row r="189" spans="1:4" x14ac:dyDescent="0.35">
      <c r="A189">
        <v>2008</v>
      </c>
      <c r="B189" s="3">
        <v>212.08318328902399</v>
      </c>
      <c r="C189" s="3">
        <v>19.7227414756901</v>
      </c>
      <c r="D189" t="s">
        <v>17</v>
      </c>
    </row>
    <row r="190" spans="1:4" x14ac:dyDescent="0.35">
      <c r="A190">
        <v>2009</v>
      </c>
      <c r="B190" s="3">
        <v>213.87108533163399</v>
      </c>
      <c r="C190" s="3">
        <v>22.339489698041898</v>
      </c>
      <c r="D190" t="s">
        <v>17</v>
      </c>
    </row>
    <row r="191" spans="1:4" x14ac:dyDescent="0.35">
      <c r="A191">
        <v>2010</v>
      </c>
      <c r="B191" s="3">
        <v>205.551464869314</v>
      </c>
      <c r="C191" s="3">
        <v>20.7236479814195</v>
      </c>
      <c r="D191" t="s">
        <v>17</v>
      </c>
    </row>
    <row r="192" spans="1:4" x14ac:dyDescent="0.35">
      <c r="A192">
        <v>2011</v>
      </c>
      <c r="B192" s="3">
        <v>210.071773804624</v>
      </c>
      <c r="C192" s="3">
        <v>17.210582240541601</v>
      </c>
      <c r="D192" t="s">
        <v>17</v>
      </c>
    </row>
    <row r="193" spans="1:4" x14ac:dyDescent="0.35">
      <c r="A193">
        <v>2012</v>
      </c>
      <c r="B193" s="3">
        <v>223.79019738445501</v>
      </c>
      <c r="C193" s="3">
        <v>15.116428623295601</v>
      </c>
      <c r="D193" t="s">
        <v>17</v>
      </c>
    </row>
    <row r="194" spans="1:4" x14ac:dyDescent="0.35">
      <c r="A194">
        <v>2013</v>
      </c>
      <c r="B194" s="3">
        <v>243.241839072342</v>
      </c>
      <c r="C194" s="3">
        <v>14.0957161049036</v>
      </c>
      <c r="D194" t="s">
        <v>17</v>
      </c>
    </row>
    <row r="195" spans="1:4" x14ac:dyDescent="0.35">
      <c r="A195">
        <v>2014</v>
      </c>
      <c r="B195" s="3">
        <v>251.68848438331</v>
      </c>
      <c r="C195" s="3">
        <v>20.925894798872999</v>
      </c>
      <c r="D195" t="s">
        <v>17</v>
      </c>
    </row>
    <row r="196" spans="1:4" x14ac:dyDescent="0.35">
      <c r="A196">
        <v>2015</v>
      </c>
      <c r="B196" s="3">
        <v>254.12093644515201</v>
      </c>
      <c r="C196" s="3">
        <v>18.785780730236102</v>
      </c>
      <c r="D196" t="s">
        <v>17</v>
      </c>
    </row>
    <row r="197" spans="1:4" x14ac:dyDescent="0.35">
      <c r="A197">
        <v>2016</v>
      </c>
      <c r="B197" s="3">
        <v>262.47232169524102</v>
      </c>
      <c r="C197" s="3">
        <v>25.788625772224702</v>
      </c>
      <c r="D197" t="s">
        <v>17</v>
      </c>
    </row>
    <row r="198" spans="1:4" x14ac:dyDescent="0.35">
      <c r="A198">
        <v>2017</v>
      </c>
      <c r="B198" s="3">
        <v>235.47966483710701</v>
      </c>
      <c r="C198" s="3">
        <v>22.455608009899901</v>
      </c>
      <c r="D198" t="s">
        <v>17</v>
      </c>
    </row>
    <row r="199" spans="1:4" x14ac:dyDescent="0.35">
      <c r="A199">
        <v>2018</v>
      </c>
      <c r="B199" s="3">
        <v>224.46214527399201</v>
      </c>
      <c r="C199" s="3">
        <v>24.886650202474701</v>
      </c>
      <c r="D199" t="s">
        <v>17</v>
      </c>
    </row>
    <row r="200" spans="1:4" x14ac:dyDescent="0.35">
      <c r="A200">
        <v>2019</v>
      </c>
      <c r="B200" s="3">
        <v>223.51130570648601</v>
      </c>
      <c r="C200" s="3">
        <v>18.092104270066699</v>
      </c>
      <c r="D200" t="s">
        <v>17</v>
      </c>
    </row>
    <row r="201" spans="1:4" x14ac:dyDescent="0.35">
      <c r="A201">
        <v>2020</v>
      </c>
      <c r="B201" s="3">
        <v>216.79273162138901</v>
      </c>
      <c r="C201" s="3">
        <v>18.501991576270299</v>
      </c>
      <c r="D201" t="s">
        <v>17</v>
      </c>
    </row>
    <row r="202" spans="1:4" x14ac:dyDescent="0.35">
      <c r="A202">
        <v>2021</v>
      </c>
      <c r="B202" s="3">
        <v>219.36919398630599</v>
      </c>
      <c r="C202" s="3">
        <v>26.914013960043199</v>
      </c>
      <c r="D202" t="s">
        <v>17</v>
      </c>
    </row>
    <row r="203" spans="1:4" x14ac:dyDescent="0.35">
      <c r="A203">
        <v>2022</v>
      </c>
      <c r="B203" s="3">
        <v>208.00715884413299</v>
      </c>
      <c r="C203" s="3">
        <v>19.037040379792199</v>
      </c>
      <c r="D203" t="s">
        <v>17</v>
      </c>
    </row>
    <row r="204" spans="1:4" x14ac:dyDescent="0.35">
      <c r="A204" s="8">
        <v>2023</v>
      </c>
      <c r="B204" s="9">
        <v>213.065623234295</v>
      </c>
      <c r="C204" s="9">
        <v>15.545896142727299</v>
      </c>
      <c r="D204" s="8" t="s">
        <v>17</v>
      </c>
    </row>
    <row r="205" spans="1:4" x14ac:dyDescent="0.35">
      <c r="A205">
        <v>1996</v>
      </c>
      <c r="B205">
        <v>39.369999999999997</v>
      </c>
      <c r="C205">
        <v>2.68</v>
      </c>
      <c r="D205" s="10" t="s">
        <v>18</v>
      </c>
    </row>
    <row r="206" spans="1:4" x14ac:dyDescent="0.35">
      <c r="A206">
        <v>1997</v>
      </c>
      <c r="B206">
        <v>83.43</v>
      </c>
      <c r="C206">
        <v>11.81</v>
      </c>
      <c r="D206" s="10" t="s">
        <v>18</v>
      </c>
    </row>
    <row r="207" spans="1:4" x14ac:dyDescent="0.35">
      <c r="A207">
        <v>1998</v>
      </c>
      <c r="B207">
        <v>127.34</v>
      </c>
      <c r="C207">
        <v>10.72</v>
      </c>
      <c r="D207" s="10" t="s">
        <v>18</v>
      </c>
    </row>
    <row r="208" spans="1:4" x14ac:dyDescent="0.35">
      <c r="A208">
        <v>1999</v>
      </c>
      <c r="B208">
        <v>147.85</v>
      </c>
      <c r="C208">
        <v>16.059999999999999</v>
      </c>
      <c r="D208" s="10" t="s">
        <v>18</v>
      </c>
    </row>
    <row r="209" spans="1:4" x14ac:dyDescent="0.35">
      <c r="A209">
        <v>2000</v>
      </c>
      <c r="B209">
        <v>148.38</v>
      </c>
      <c r="C209">
        <v>15.74</v>
      </c>
      <c r="D209" s="10" t="s">
        <v>18</v>
      </c>
    </row>
    <row r="210" spans="1:4" x14ac:dyDescent="0.35">
      <c r="A210">
        <v>2001</v>
      </c>
      <c r="B210">
        <v>179.08</v>
      </c>
      <c r="C210">
        <v>14.59</v>
      </c>
      <c r="D210" s="10" t="s">
        <v>18</v>
      </c>
    </row>
    <row r="211" spans="1:4" x14ac:dyDescent="0.35">
      <c r="A211">
        <v>2002</v>
      </c>
      <c r="B211">
        <v>196.01</v>
      </c>
      <c r="C211">
        <v>10.55</v>
      </c>
      <c r="D211" s="10" t="s">
        <v>18</v>
      </c>
    </row>
    <row r="212" spans="1:4" x14ac:dyDescent="0.35">
      <c r="A212">
        <v>2003</v>
      </c>
      <c r="B212">
        <v>208.76</v>
      </c>
      <c r="C212">
        <v>18.53</v>
      </c>
      <c r="D212" s="10" t="s">
        <v>18</v>
      </c>
    </row>
    <row r="213" spans="1:4" x14ac:dyDescent="0.35">
      <c r="A213">
        <v>2004</v>
      </c>
      <c r="B213">
        <v>215.26</v>
      </c>
      <c r="C213">
        <v>16.64</v>
      </c>
      <c r="D213" s="10" t="s">
        <v>18</v>
      </c>
    </row>
    <row r="214" spans="1:4" x14ac:dyDescent="0.35">
      <c r="A214">
        <v>2005</v>
      </c>
      <c r="B214">
        <v>222.69</v>
      </c>
      <c r="C214">
        <v>27.52</v>
      </c>
      <c r="D214" s="10" t="s">
        <v>18</v>
      </c>
    </row>
    <row r="215" spans="1:4" x14ac:dyDescent="0.35">
      <c r="A215">
        <v>2006</v>
      </c>
      <c r="B215">
        <v>200.6</v>
      </c>
      <c r="C215">
        <v>22.24</v>
      </c>
      <c r="D215" s="10" t="s">
        <v>18</v>
      </c>
    </row>
    <row r="216" spans="1:4" x14ac:dyDescent="0.35">
      <c r="A216">
        <v>2007</v>
      </c>
      <c r="B216">
        <v>199.64</v>
      </c>
      <c r="C216">
        <v>26.68</v>
      </c>
      <c r="D216" s="10" t="s">
        <v>18</v>
      </c>
    </row>
    <row r="217" spans="1:4" x14ac:dyDescent="0.35">
      <c r="A217">
        <v>2008</v>
      </c>
      <c r="B217">
        <v>213.94</v>
      </c>
      <c r="C217">
        <v>20.34</v>
      </c>
      <c r="D217" s="10" t="s">
        <v>18</v>
      </c>
    </row>
    <row r="218" spans="1:4" x14ac:dyDescent="0.35">
      <c r="A218">
        <v>2009</v>
      </c>
      <c r="B218">
        <v>216.06</v>
      </c>
      <c r="C218">
        <v>23.17</v>
      </c>
      <c r="D218" s="10" t="s">
        <v>18</v>
      </c>
    </row>
    <row r="219" spans="1:4" x14ac:dyDescent="0.35">
      <c r="A219">
        <v>2010</v>
      </c>
      <c r="B219">
        <v>207.54</v>
      </c>
      <c r="C219">
        <v>21.45</v>
      </c>
      <c r="D219" s="10" t="s">
        <v>18</v>
      </c>
    </row>
    <row r="220" spans="1:4" x14ac:dyDescent="0.35">
      <c r="A220">
        <v>2011</v>
      </c>
      <c r="B220">
        <v>212.02</v>
      </c>
      <c r="C220">
        <v>17.84</v>
      </c>
      <c r="D220" s="10" t="s">
        <v>18</v>
      </c>
    </row>
    <row r="221" spans="1:4" x14ac:dyDescent="0.35">
      <c r="A221">
        <v>2012</v>
      </c>
      <c r="B221">
        <v>225.89</v>
      </c>
      <c r="C221">
        <v>15.8</v>
      </c>
      <c r="D221" s="10" t="s">
        <v>18</v>
      </c>
    </row>
    <row r="222" spans="1:4" x14ac:dyDescent="0.35">
      <c r="A222">
        <v>2013</v>
      </c>
      <c r="B222">
        <v>245.35</v>
      </c>
      <c r="C222">
        <v>14.75</v>
      </c>
      <c r="D222" s="10" t="s">
        <v>18</v>
      </c>
    </row>
    <row r="223" spans="1:4" x14ac:dyDescent="0.35">
      <c r="A223">
        <v>2014</v>
      </c>
      <c r="B223">
        <v>253.99</v>
      </c>
      <c r="C223">
        <v>21.59</v>
      </c>
      <c r="D223" s="10" t="s">
        <v>18</v>
      </c>
    </row>
    <row r="224" spans="1:4" x14ac:dyDescent="0.35">
      <c r="A224">
        <v>2015</v>
      </c>
      <c r="B224">
        <v>255.86</v>
      </c>
      <c r="C224">
        <v>19.41</v>
      </c>
      <c r="D224" s="10" t="s">
        <v>18</v>
      </c>
    </row>
    <row r="225" spans="1:4" x14ac:dyDescent="0.35">
      <c r="A225">
        <v>2016</v>
      </c>
      <c r="B225">
        <v>266.58999999999997</v>
      </c>
      <c r="C225">
        <v>26.97</v>
      </c>
      <c r="D225" s="10" t="s">
        <v>18</v>
      </c>
    </row>
    <row r="226" spans="1:4" x14ac:dyDescent="0.35">
      <c r="A226">
        <v>2017</v>
      </c>
      <c r="B226">
        <v>237.94</v>
      </c>
      <c r="C226">
        <v>23.4</v>
      </c>
      <c r="D226" s="10" t="s">
        <v>18</v>
      </c>
    </row>
    <row r="227" spans="1:4" x14ac:dyDescent="0.35">
      <c r="A227">
        <v>2018</v>
      </c>
      <c r="B227">
        <v>227.02</v>
      </c>
      <c r="C227">
        <v>26.11</v>
      </c>
      <c r="D227" s="10" t="s">
        <v>18</v>
      </c>
    </row>
    <row r="228" spans="1:4" x14ac:dyDescent="0.35">
      <c r="A228">
        <v>2019</v>
      </c>
      <c r="B228">
        <v>226.63</v>
      </c>
      <c r="C228">
        <v>18.84</v>
      </c>
      <c r="D228" s="10" t="s">
        <v>18</v>
      </c>
    </row>
    <row r="229" spans="1:4" x14ac:dyDescent="0.35">
      <c r="A229">
        <v>2020</v>
      </c>
      <c r="B229">
        <v>220.79</v>
      </c>
      <c r="C229">
        <v>19.45</v>
      </c>
      <c r="D229" s="10" t="s">
        <v>18</v>
      </c>
    </row>
    <row r="230" spans="1:4" x14ac:dyDescent="0.35">
      <c r="A230">
        <v>2021</v>
      </c>
      <c r="B230">
        <v>222.55</v>
      </c>
      <c r="C230">
        <v>28.11</v>
      </c>
      <c r="D230" s="10" t="s">
        <v>18</v>
      </c>
    </row>
    <row r="231" spans="1:4" x14ac:dyDescent="0.35">
      <c r="A231">
        <v>2022</v>
      </c>
      <c r="B231">
        <v>213</v>
      </c>
      <c r="C231">
        <v>19.64</v>
      </c>
      <c r="D231" s="10" t="s">
        <v>18</v>
      </c>
    </row>
    <row r="232" spans="1:4" x14ac:dyDescent="0.35">
      <c r="A232">
        <v>2023</v>
      </c>
      <c r="B232">
        <v>219.24</v>
      </c>
      <c r="C232">
        <v>15.36</v>
      </c>
      <c r="D232" s="10" t="s">
        <v>18</v>
      </c>
    </row>
    <row r="233" spans="1:4" x14ac:dyDescent="0.35">
      <c r="A233" s="8">
        <v>2024</v>
      </c>
      <c r="B233" s="8">
        <v>217.76</v>
      </c>
      <c r="C233" s="8">
        <v>17.7</v>
      </c>
      <c r="D233" s="11" t="s">
        <v>18</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3</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me</vt:lpstr>
      <vt:lpstr>2002-08 Cal et al. 2010</vt:lpstr>
      <vt:lpstr>2002-10 Cal et al. 2012</vt:lpstr>
      <vt:lpstr>2002-12 Cal et al. 2014</vt:lpstr>
      <vt:lpstr>2002-15 Cal et al. 2017</vt:lpstr>
      <vt:lpstr>2002-17 Cal et al. 2020</vt:lpstr>
      <vt:lpstr>2002-20 Har et al. 2022</vt:lpstr>
      <vt:lpstr>2002-22 Har et al. 2024</vt:lpstr>
      <vt:lpstr>2002-23 Har et al. 2025</vt:lpstr>
      <vt:lpstr>2002-24 Mah et al. 2026</vt:lpstr>
      <vt:lpstr>All time series together</vt:lpstr>
      <vt:lpstr>N_retro_long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 Scordino</dc:creator>
  <dc:description/>
  <cp:lastModifiedBy>Peter.Mahoney</cp:lastModifiedBy>
  <cp:revision>2</cp:revision>
  <dcterms:created xsi:type="dcterms:W3CDTF">2024-10-02T22:02:04Z</dcterms:created>
  <dcterms:modified xsi:type="dcterms:W3CDTF">2026-02-12T00:17:49Z</dcterms:modified>
  <dc:language>en-US</dc:language>
</cp:coreProperties>
</file>